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<sst xmlns="http://schemas.openxmlformats.org/spreadsheetml/2006/main" count="100" uniqueCount="78">
  <si>
    <t xml:space="preserve">Use Case</t>
  </si>
  <si>
    <t xml:space="preserve">Department</t>
  </si>
  <si>
    <t xml:space="preserve">Description</t>
  </si>
  <si>
    <t xml:space="preserve">Difficulty</t>
  </si>
  <si>
    <t xml:space="preserve">Est. Time Saved (hrs/month)</t>
  </si>
  <si>
    <t xml:space="preserve">Est. Time Value (€/year)</t>
  </si>
  <si>
    <t xml:space="preserve">Est. Revenue Impact (€/year)</t>
  </si>
  <si>
    <t xml:space="preserve">Status</t>
  </si>
  <si>
    <t xml:space="preserve">Notes</t>
  </si>
  <si>
    <t xml:space="preserve">Reservation Email Automation</t>
  </si>
  <si>
    <t xml:space="preserve">Operations</t>
  </si>
  <si>
    <t xml:space="preserve">Auto-respond to booking inquiries, route to appropriate staff, extract key info</t>
  </si>
  <si>
    <t xml:space="preserve">Medium</t>
  </si>
  <si>
    <t xml:space="preserve">80</t>
  </si>
  <si>
    <t xml:space="preserve">36000</t>
  </si>
  <si>
    <t xml:space="preserve">Trial - In Progress</t>
  </si>
  <si>
    <t xml:space="preserve">Time: 50 emails/property/day × 4 properties, ~25% automation capture. Revenue: ~1 booking/month saved @ €3K avg from faster response.</t>
  </si>
  <si>
    <t xml:space="preserve">Group Booking RFQ Response</t>
  </si>
  <si>
    <t xml:space="preserve">Sales</t>
  </si>
  <si>
    <t xml:space="preserve">Fast-track group/corporate booking quotes to beat competitors</t>
  </si>
  <si>
    <t xml:space="preserve">20</t>
  </si>
  <si>
    <t xml:space="preserve">Identified</t>
  </si>
  <si>
    <t xml:space="preserve">Time: Quote prep and follow-up. Revenue: ~1 group booking/month @ €3K avg - mentioned losing deals to faster hotels.</t>
  </si>
  <si>
    <t xml:space="preserve">HubSpot → News PMS Sync</t>
  </si>
  <si>
    <t xml:space="preserve">Keep CRM and PMS in sync for guest data</t>
  </si>
  <si>
    <t xml:space="preserve">Simple</t>
  </si>
  <si>
    <t xml:space="preserve">10</t>
  </si>
  <si>
    <t xml:space="preserve">Manual data entry avoided. Revenue impact indirect (better guest data → repeat bookings).</t>
  </si>
  <si>
    <t xml:space="preserve">Hiring Process Workflow</t>
  </si>
  <si>
    <t xml:space="preserve">HR</t>
  </si>
  <si>
    <t xml:space="preserve">Automate candidate communication, scheduling, onboarding docs</t>
  </si>
  <si>
    <t xml:space="preserve">15</t>
  </si>
  <si>
    <t xml:space="preserve">Matteo started in Make - hit Outlook/network issues. 4 properties × 3-4 hires/month × 1 hr admin.</t>
  </si>
  <si>
    <t xml:space="preserve">Employee Survey Automation</t>
  </si>
  <si>
    <t xml:space="preserve">Annual survey distribution, collection, reporting</t>
  </si>
  <si>
    <t xml:space="preserve">5</t>
  </si>
  <si>
    <t xml:space="preserve">Amortized across year. Actual time concentrated in 1-2 months.</t>
  </si>
  <si>
    <t xml:space="preserve">Contract &amp; Social Security Processing</t>
  </si>
  <si>
    <t xml:space="preserve">HR/Finance</t>
  </si>
  <si>
    <t xml:space="preserve">New hire paperwork to government systems</t>
  </si>
  <si>
    <t xml:space="preserve">Complex</t>
  </si>
  <si>
    <t xml:space="preserve">Multiple external systems. Compliance risk reduction not captured.</t>
  </si>
  <si>
    <t xml:space="preserve">AP/Invoice Processing</t>
  </si>
  <si>
    <t xml:space="preserve">Finance</t>
  </si>
  <si>
    <t xml:space="preserve">Invoice intake, approval routing, payment scheduling</t>
  </si>
  <si>
    <t xml:space="preserve">Discovery - Jan 19</t>
  </si>
  <si>
    <t xml:space="preserve">Javier to provide volume. Typical hotel: 200-500 invoices/month.</t>
  </si>
  <si>
    <t xml:space="preserve">Month-End Reconciliation</t>
  </si>
  <si>
    <t xml:space="preserve">Automate data gathering for close process</t>
  </si>
  <si>
    <t xml:space="preserve">Value = faster close + reduced errors. Javier mentioned year-end pressure.</t>
  </si>
  <si>
    <t xml:space="preserve">Marketing Campaign Automation</t>
  </si>
  <si>
    <t xml:space="preserve">Marketing</t>
  </si>
  <si>
    <t xml:space="preserve">Guest communication, loyalty, promotions</t>
  </si>
  <si>
    <t xml:space="preserve">Future</t>
  </si>
  <si>
    <t xml:space="preserve">Pre/post-stay emails. Revenue impact could be significant (repeat bookings).</t>
  </si>
  <si>
    <t xml:space="preserve">New Property Onboarding</t>
  </si>
  <si>
    <t xml:space="preserve">Template automations for Porto (Summer 25) and future properties</t>
  </si>
  <si>
    <t xml:space="preserve">Scalability play - automations built now replicate at zero marginal cost.</t>
  </si>
  <si>
    <t xml:space="preserve">SUMMARY</t>
  </si>
  <si>
    <t xml:space="preserve">Total Use Cases Identified:</t>
  </si>
  <si>
    <t xml:space="preserve">Total Est. Hours Saved/Month:</t>
  </si>
  <si>
    <t xml:space="preserve">Total Est. Time Value/Year:</t>
  </si>
  <si>
    <t xml:space="preserve">Total Est. Revenue Impact/Year:</t>
  </si>
  <si>
    <t xml:space="preserve">TOTAL ESTIMATED VALUE/YEAR:</t>
  </si>
  <si>
    <t xml:space="preserve">CALCULATION METHODOLOGY</t>
  </si>
  <si>
    <t xml:space="preserve">Time Value = Hours Saved/Month × 12 months × €20/hr labor cost (adjust "20" in formulas to change rate)</t>
  </si>
  <si>
    <t xml:space="preserve">Revenue Impact = Estimated bookings/deals protected or recovered due to faster response, better CX, or reduced errors</t>
  </si>
  <si>
    <t xml:space="preserve">Revenue assumptions for reservation/group bookings:</t>
  </si>
  <si>
    <t xml:space="preserve">• ~2 group bookings/month lost system-wide due to slow response (per call discussion)</t>
  </si>
  <si>
    <t xml:space="preserve">• Average group booking value: €3,000 (conservative estimate for 5-star boutique)</t>
  </si>
  <si>
    <t xml:space="preserve">• Split across reservation automation (1/month) and group RFQ automation (1/month)</t>
  </si>
  <si>
    <t xml:space="preserve">⚠️ Revenue estimates are conservative. Does NOT include: repeat booking value, referral value, or brand reputation impact.</t>
  </si>
  <si>
    <t xml:space="preserve">DIFFICULTY LEGEND</t>
  </si>
  <si>
    <t xml:space="preserve">Standard integrations, 1-2 hours to build</t>
  </si>
  <si>
    <t xml:space="preserve">Multi-step workflows, conditional logic, 2-8 hours</t>
  </si>
  <si>
    <t xml:space="preserve">Multiple systems, custom logic/testing, 1-2 days</t>
  </si>
  <si>
    <t xml:space="preserve">Custom API</t>
  </si>
  <si>
    <t xml:space="preserve">Requires webhooks/code, may need developer or Zapier 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</si>
</sst>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€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6D00"/>
      <name val="Cambria"/>
      <family val="0"/>
      <charset val="1"/>
    </font>
    <font>
      <sz val="11"/>
      <color rgb="FFC651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6D00"/>
        <bgColor rgb="FFFF9900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0"/>
      <rgbColor rgb="FF666699"/>
      <rgbColor rgb="FF969696"/>
      <rgbColor rgb="FF003366"/>
      <rgbColor rgb="FF339966"/>
      <rgbColor rgb="FF003300"/>
      <rgbColor rgb="FF333300"/>
      <rgbColor rgb="FFC651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1.7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4" t="n">
        <f aca="false">E2*12*20</f>
        <v>19200</v>
      </c>
      <c r="G2" s="4" t="s">
        <v>14</v>
      </c>
      <c r="H2" s="2" t="s">
        <v>15</v>
      </c>
      <c r="I2" s="2" t="s">
        <v>16</v>
      </c>
    </row>
    <row r="3" customFormat="false" ht="41.7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12</v>
      </c>
      <c r="E3" s="3" t="s">
        <v>20</v>
      </c>
      <c r="F3" s="4" t="n">
        <f aca="false">E3*12*20</f>
        <v>4800</v>
      </c>
      <c r="G3" s="4" t="s">
        <v>14</v>
      </c>
      <c r="H3" s="2" t="s">
        <v>21</v>
      </c>
      <c r="I3" s="2" t="s">
        <v>22</v>
      </c>
    </row>
    <row r="4" customFormat="false" ht="28.35" hidden="false" customHeight="false" outlineLevel="0" collapsed="false">
      <c r="A4" s="2" t="s">
        <v>23</v>
      </c>
      <c r="B4" s="2" t="s">
        <v>18</v>
      </c>
      <c r="C4" s="2" t="s">
        <v>24</v>
      </c>
      <c r="D4" s="2" t="s">
        <v>25</v>
      </c>
      <c r="E4" s="3" t="s">
        <v>26</v>
      </c>
      <c r="F4" s="4" t="n">
        <f aca="false">E4*12*20</f>
        <v>2400</v>
      </c>
      <c r="G4" s="4"/>
      <c r="H4" s="2" t="s">
        <v>21</v>
      </c>
      <c r="I4" s="2" t="s">
        <v>27</v>
      </c>
    </row>
    <row r="5" customFormat="false" ht="28.3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12</v>
      </c>
      <c r="E5" s="3" t="s">
        <v>31</v>
      </c>
      <c r="F5" s="4" t="n">
        <f aca="false">E5*12*20</f>
        <v>3600</v>
      </c>
      <c r="G5" s="4"/>
      <c r="H5" s="2" t="s">
        <v>21</v>
      </c>
      <c r="I5" s="2" t="s">
        <v>32</v>
      </c>
    </row>
    <row r="6" customFormat="false" ht="28.35" hidden="false" customHeight="false" outlineLevel="0" collapsed="false">
      <c r="A6" s="2" t="s">
        <v>33</v>
      </c>
      <c r="B6" s="2" t="s">
        <v>29</v>
      </c>
      <c r="C6" s="2" t="s">
        <v>34</v>
      </c>
      <c r="D6" s="2" t="s">
        <v>25</v>
      </c>
      <c r="E6" s="3" t="s">
        <v>35</v>
      </c>
      <c r="F6" s="4" t="n">
        <f aca="false">E6*12*20</f>
        <v>1200</v>
      </c>
      <c r="G6" s="4"/>
      <c r="H6" s="2" t="s">
        <v>21</v>
      </c>
      <c r="I6" s="2" t="s">
        <v>36</v>
      </c>
    </row>
    <row r="7" customFormat="false" ht="28.3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3" t="s">
        <v>26</v>
      </c>
      <c r="F7" s="4" t="n">
        <f aca="false">E7*12*20</f>
        <v>2400</v>
      </c>
      <c r="G7" s="4"/>
      <c r="H7" s="2" t="s">
        <v>21</v>
      </c>
      <c r="I7" s="2" t="s">
        <v>41</v>
      </c>
    </row>
    <row r="8" customFormat="false" ht="28.3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12</v>
      </c>
      <c r="E8" s="3"/>
      <c r="F8" s="4"/>
      <c r="G8" s="4"/>
      <c r="H8" s="2" t="s">
        <v>45</v>
      </c>
      <c r="I8" s="2" t="s">
        <v>46</v>
      </c>
    </row>
    <row r="9" customFormat="false" ht="28.35" hidden="false" customHeight="false" outlineLevel="0" collapsed="false">
      <c r="A9" s="2" t="s">
        <v>47</v>
      </c>
      <c r="B9" s="2" t="s">
        <v>43</v>
      </c>
      <c r="C9" s="2" t="s">
        <v>48</v>
      </c>
      <c r="D9" s="2" t="s">
        <v>40</v>
      </c>
      <c r="E9" s="3"/>
      <c r="F9" s="4"/>
      <c r="G9" s="4"/>
      <c r="H9" s="2" t="s">
        <v>45</v>
      </c>
      <c r="I9" s="2" t="s">
        <v>49</v>
      </c>
    </row>
    <row r="10" customFormat="false" ht="28.3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12</v>
      </c>
      <c r="E10" s="3"/>
      <c r="F10" s="4"/>
      <c r="G10" s="4"/>
      <c r="H10" s="2" t="s">
        <v>53</v>
      </c>
      <c r="I10" s="2" t="s">
        <v>54</v>
      </c>
    </row>
    <row r="11" customFormat="false" ht="28.35" hidden="false" customHeight="false" outlineLevel="0" collapsed="false">
      <c r="A11" s="2" t="s">
        <v>55</v>
      </c>
      <c r="B11" s="2" t="s">
        <v>10</v>
      </c>
      <c r="C11" s="2" t="s">
        <v>56</v>
      </c>
      <c r="D11" s="2" t="s">
        <v>40</v>
      </c>
      <c r="E11" s="3"/>
      <c r="F11" s="4"/>
      <c r="G11" s="4"/>
      <c r="H11" s="2" t="s">
        <v>53</v>
      </c>
      <c r="I11" s="2" t="s">
        <v>57</v>
      </c>
    </row>
    <row r="12" customFormat="false" ht="15" hidden="false" customHeight="false" outlineLevel="0" collapsed="false">
      <c r="A12" s="5"/>
      <c r="B12" s="5"/>
      <c r="C12" s="5"/>
      <c r="D12" s="5"/>
      <c r="E12" s="6"/>
      <c r="F12" s="7" t="str">
        <f aca="false">IF(E12="","",E12*12*20)</f>
        <v/>
      </c>
      <c r="G12" s="7"/>
      <c r="H12" s="5"/>
      <c r="I12" s="5"/>
    </row>
    <row r="13" customFormat="false" ht="15" hidden="false" customHeight="false" outlineLevel="0" collapsed="false">
      <c r="A13" s="5"/>
      <c r="B13" s="5"/>
      <c r="C13" s="5"/>
      <c r="D13" s="5"/>
      <c r="E13" s="6"/>
      <c r="F13" s="7" t="str">
        <f aca="false">IF(E13="","",E13*12*20)</f>
        <v/>
      </c>
      <c r="G13" s="7"/>
      <c r="H13" s="5"/>
      <c r="I13" s="5"/>
    </row>
    <row r="14" customFormat="false" ht="15" hidden="false" customHeight="false" outlineLevel="0" collapsed="false">
      <c r="A14" s="5"/>
      <c r="B14" s="5"/>
      <c r="C14" s="5"/>
      <c r="D14" s="5"/>
      <c r="E14" s="6"/>
      <c r="F14" s="7" t="str">
        <f aca="false">IF(E14="","",E14*12*20)</f>
        <v/>
      </c>
      <c r="G14" s="7"/>
      <c r="H14" s="5"/>
      <c r="I14" s="5"/>
    </row>
    <row r="15" customFormat="false" ht="15" hidden="false" customHeight="false" outlineLevel="0" collapsed="false">
      <c r="A15" s="5"/>
      <c r="B15" s="5"/>
      <c r="C15" s="5"/>
      <c r="D15" s="5"/>
      <c r="E15" s="6"/>
      <c r="F15" s="7" t="str">
        <f aca="false">IF(E15="","",E15*12*20)</f>
        <v/>
      </c>
      <c r="G15" s="7"/>
      <c r="H15" s="5"/>
      <c r="I15" s="5"/>
    </row>
    <row r="16" customFormat="false" ht="15" hidden="false" customHeight="false" outlineLevel="0" collapsed="false">
      <c r="A16" s="5"/>
      <c r="B16" s="5"/>
      <c r="C16" s="5"/>
      <c r="D16" s="5"/>
      <c r="E16" s="6"/>
      <c r="F16" s="7" t="str">
        <f aca="false">IF(E16="","",E16*12*20)</f>
        <v/>
      </c>
      <c r="G16" s="7"/>
      <c r="H16" s="5"/>
      <c r="I16" s="5"/>
    </row>
    <row r="19" customFormat="false" ht="15" hidden="false" customHeight="false" outlineLevel="0" collapsed="false">
      <c r="A19" s="8" t="s">
        <v>58</v>
      </c>
    </row>
    <row r="20" customFormat="false" ht="15" hidden="false" customHeight="false" outlineLevel="0" collapsed="false">
      <c r="A20" s="0" t="s">
        <v>59</v>
      </c>
      <c r="B20" s="0" t="n">
        <f aca="false">COUNTA(A2:A16)</f>
        <v>10</v>
      </c>
    </row>
    <row r="21" customFormat="false" ht="15" hidden="false" customHeight="false" outlineLevel="0" collapsed="false">
      <c r="A21" s="0" t="s">
        <v>60</v>
      </c>
      <c r="B21" s="9" t="n">
        <f aca="false">SUM(E2:E16)</f>
        <v>0</v>
      </c>
    </row>
    <row r="22" customFormat="false" ht="15" hidden="false" customHeight="false" outlineLevel="0" collapsed="false">
      <c r="A22" s="0" t="s">
        <v>61</v>
      </c>
      <c r="B22" s="10" t="n">
        <f aca="false">SUM(F2:F16)</f>
        <v>33600</v>
      </c>
    </row>
    <row r="23" customFormat="false" ht="15" hidden="false" customHeight="false" outlineLevel="0" collapsed="false">
      <c r="A23" s="11" t="s">
        <v>62</v>
      </c>
      <c r="B23" s="12" t="n">
        <f aca="false">SUM(G2:G16)</f>
        <v>0</v>
      </c>
    </row>
    <row r="25" customFormat="false" ht="15" hidden="false" customHeight="false" outlineLevel="0" collapsed="false">
      <c r="A25" s="13" t="s">
        <v>63</v>
      </c>
      <c r="B25" s="14" t="n">
        <f aca="false">SUM(F2:F16)+SUM(G2:G16)</f>
        <v>33600</v>
      </c>
    </row>
    <row r="28" customFormat="false" ht="15" hidden="false" customHeight="false" outlineLevel="0" collapsed="false">
      <c r="A28" s="8" t="s">
        <v>64</v>
      </c>
    </row>
    <row r="29" customFormat="false" ht="15" hidden="false" customHeight="false" outlineLevel="0" collapsed="false">
      <c r="A29" s="15" t="s">
        <v>65</v>
      </c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15" t="s">
        <v>66</v>
      </c>
      <c r="B30" s="15"/>
      <c r="C30" s="15"/>
      <c r="D30" s="15"/>
      <c r="E30" s="15"/>
      <c r="F30" s="15"/>
      <c r="G30" s="15"/>
    </row>
    <row r="32" customFormat="false" ht="15" hidden="false" customHeight="false" outlineLevel="0" collapsed="false">
      <c r="A32" s="16" t="s">
        <v>67</v>
      </c>
      <c r="B32" s="16"/>
      <c r="C32" s="16"/>
      <c r="D32" s="16"/>
      <c r="E32" s="16"/>
      <c r="F32" s="16"/>
      <c r="G32" s="16"/>
    </row>
    <row r="33" customFormat="false" ht="15" hidden="false" customHeight="false" outlineLevel="0" collapsed="false">
      <c r="A33" s="15" t="s">
        <v>68</v>
      </c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5" t="s">
        <v>69</v>
      </c>
      <c r="B34" s="15"/>
      <c r="C34" s="15"/>
      <c r="D34" s="15"/>
      <c r="E34" s="15"/>
      <c r="F34" s="15"/>
      <c r="G34" s="15"/>
    </row>
    <row r="35" customFormat="false" ht="15" hidden="false" customHeight="false" outlineLevel="0" collapsed="false">
      <c r="A35" s="15" t="s">
        <v>70</v>
      </c>
      <c r="B35" s="15"/>
      <c r="C35" s="15"/>
      <c r="D35" s="15"/>
      <c r="E35" s="15"/>
      <c r="F35" s="15"/>
      <c r="G35" s="15"/>
    </row>
    <row r="37" customFormat="false" ht="15" hidden="false" customHeight="false" outlineLevel="0" collapsed="false">
      <c r="A37" s="17" t="s">
        <v>71</v>
      </c>
      <c r="B37" s="17"/>
      <c r="C37" s="17"/>
      <c r="D37" s="17"/>
      <c r="E37" s="17"/>
      <c r="F37" s="17"/>
      <c r="G37" s="17"/>
    </row>
    <row r="40" customFormat="false" ht="15" hidden="false" customHeight="false" outlineLevel="0" collapsed="false">
      <c r="A40" s="8" t="s">
        <v>72</v>
      </c>
    </row>
    <row r="41" customFormat="false" ht="15" hidden="false" customHeight="false" outlineLevel="0" collapsed="false">
      <c r="A41" s="0" t="s">
        <v>25</v>
      </c>
      <c r="B41" s="0" t="s">
        <v>73</v>
      </c>
    </row>
    <row r="42" customFormat="false" ht="15" hidden="false" customHeight="false" outlineLevel="0" collapsed="false">
      <c r="A42" s="0" t="s">
        <v>12</v>
      </c>
      <c r="B42" s="0" t="s">
        <v>74</v>
      </c>
    </row>
    <row r="43" customFormat="false" ht="15" hidden="false" customHeight="false" outlineLevel="0" collapsed="false">
      <c r="A43" s="0" t="s">
        <v>40</v>
      </c>
      <c r="B43" s="0" t="s">
        <v>75</v>
      </c>
    </row>
    <row r="44" customFormat="false" ht="15" hidden="false" customHeight="false" outlineLevel="0" collapsed="false">
      <c r="A44" s="0" t="s">
        <v>76</v>
      </c>
      <c r="B44" s="0" t="s">
        <v>77</v>
      </c>
    </row>
  </sheetData>
  <mergeCells count="7">
    <mergeCell ref="A29:G29"/>
    <mergeCell ref="A30:G30"/>
    <mergeCell ref="A32:G32"/>
    <mergeCell ref="A33:G33"/>
    <mergeCell ref="A34:G34"/>
    <mergeCell ref="A35:G35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2025-12-16T17:12:25Z</dcterms:created>
  <dc:creator>openpyxl</dc:creator>
  <dc:description/>
  <dc:language>en-US</dc:language>
  <cp:lastModifiedBy/>
  <dcterms:modified xsi:type="dcterms:W3CDTF">2025-12-16T17:12:25Z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