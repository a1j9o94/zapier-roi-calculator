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Value Analysis" sheetId="1" state="visible" r:id="rId3"/>
    <sheet name="Use Case Tracker" sheetId="2" state="visible" r:id="rId4"/>
    <sheet name="Implementation Roadm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<sst xmlns="http://schemas.openxmlformats.org/spreadsheetml/2006/main" count="167" uniqueCount="143">
  <si>
    <t xml:space="preserve">ATIG - Business Value Analysis</t>
  </si>
  <si>
    <t xml:space="preserve">What's the value of having real-time visibility into your brokerage?</t>
  </si>
  <si>
    <t xml:space="preserve">YOUR BUSINESS TODAY</t>
  </si>
  <si>
    <t xml:space="preserve">Number of reps</t>
  </si>
  <si>
    <t xml:space="preserve">Active agents under ATIG</t>
  </si>
  <si>
    <t xml:space="preserve">Average policies per month</t>
  </si>
  <si>
    <t xml:space="preserve">1,000-2,000 range discussed</t>
  </si>
  <si>
    <t xml:space="preserve">Average annual premium per policy</t>
  </si>
  <si>
    <t xml:space="preserve">$80/month × 12</t>
  </si>
  <si>
    <t xml:space="preserve">Annual premium volume</t>
  </si>
  <si>
    <t xml:space="preserve">Estimated override rate (ATIG revenue %)</t>
  </si>
  <si>
    <t xml:space="preserve">Adjust based on actual carrier contracts</t>
  </si>
  <si>
    <t xml:space="preserve">Estimated ATIG annual revenue</t>
  </si>
  <si>
    <t xml:space="preserve">VALUE DRIVER 1: REP PRODUCTIVITY</t>
  </si>
  <si>
    <t xml:space="preserve">Current state:</t>
  </si>
  <si>
    <t xml:space="preserve">No visibility into individual rep performance, carrier mix, or trends</t>
  </si>
  <si>
    <t xml:space="preserve">Future state:</t>
  </si>
  <si>
    <t xml:space="preserve">Real-time dashboards showing rep production, top performers, coaching opportunities</t>
  </si>
  <si>
    <t xml:space="preserve">If better coaching lifts average rep production by:</t>
  </si>
  <si>
    <t xml:space="preserve">Conservative: top brokerages see 15-25% lifts</t>
  </si>
  <si>
    <t xml:space="preserve">Additional annual premium generated</t>
  </si>
  <si>
    <t xml:space="preserve">Value to ATIG (at override rate)</t>
  </si>
  <si>
    <t xml:space="preserve">VALUE DRIVER 2: CHARGEBACK REDUCTION</t>
  </si>
  <si>
    <t xml:space="preserve">Chargebacks discovered weeks/months after they happen, no proactive intervention</t>
  </si>
  <si>
    <t xml:space="preserve">Real-time alerts when policies lapse, ability to intervene before chargeback</t>
  </si>
  <si>
    <t xml:space="preserve">Estimated current chargeback rate</t>
  </si>
  <si>
    <t xml:space="preserve">Industry average 10-20% for term life</t>
  </si>
  <si>
    <t xml:space="preserve">Premium lost to chargebacks annually</t>
  </si>
  <si>
    <t xml:space="preserve">Reduction achievable with early intervention</t>
  </si>
  <si>
    <t xml:space="preserve">20-30% reduction typical with proactive outreach</t>
  </si>
  <si>
    <t xml:space="preserve">Premium saved from chargeback reduction</t>
  </si>
  <si>
    <t xml:space="preserve">VALUE DRIVER 3: CARRIER OPTIMIZATION</t>
  </si>
  <si>
    <t xml:space="preserve">77 carriers, no way to compare approval rates, processing speed, or chargeback rates</t>
  </si>
  <si>
    <t xml:space="preserve">Carrier scorecards showing which partners deliver best outcomes</t>
  </si>
  <si>
    <t xml:space="preserve">If steering to better carriers improves close rate by:</t>
  </si>
  <si>
    <t xml:space="preserve">Conservative estimate</t>
  </si>
  <si>
    <t xml:space="preserve">Additional premium from improved close rates</t>
  </si>
  <si>
    <t xml:space="preserve">VALUE DRIVER 4: OPERATIONAL TIME SAVINGS</t>
  </si>
  <si>
    <t xml:space="preserve">'Would take a month to get a week's worth of data' - manual downloads from 77 sites</t>
  </si>
  <si>
    <t xml:space="preserve">Automated weekly data collection, instant reporting</t>
  </si>
  <si>
    <t xml:space="preserve">Hours spent on manual commission work (monthly)</t>
  </si>
  <si>
    <t xml:space="preserve">77 carriers × 30 min + reconciliation + reporting</t>
  </si>
  <si>
    <t xml:space="preserve">Hours in future state (monthly)</t>
  </si>
  <si>
    <t xml:space="preserve">Exception handling and review only</t>
  </si>
  <si>
    <t xml:space="preserve">Blended hourly rate</t>
  </si>
  <si>
    <t xml:space="preserve">Annual time savings value</t>
  </si>
  <si>
    <t xml:space="preserve">TOTAL VALUE SUMMARY</t>
  </si>
  <si>
    <t xml:space="preserve">Rep Productivity Lift</t>
  </si>
  <si>
    <t xml:space="preserve">Chargeback Reduction</t>
  </si>
  <si>
    <t xml:space="preserve">Carrier Optimization</t>
  </si>
  <si>
    <t xml:space="preserve">Operational Time Savings</t>
  </si>
  <si>
    <t xml:space="preserve">TOTAL ANNUAL VALUE</t>
  </si>
  <si>
    <t xml:space="preserve">As % of current ATIG revenue</t>
  </si>
  <si>
    <t xml:space="preserve">NOTES ON ASSUMPTIONS</t>
  </si>
  <si>
    <t xml:space="preserve">• All blue numbers are adjustable inputs - update with your actual data</t>
  </si>
  <si>
    <t xml:space="preserve">• Override rate varies by carrier and policy type - use your blended average</t>
  </si>
  <si>
    <t xml:space="preserve">• Productivity and chargeback improvements are conservative industry benchmarks</t>
  </si>
  <si>
    <t xml:space="preserve">• Value compounds: retained policies generate recurring premium year over year</t>
  </si>
  <si>
    <t xml:space="preserve">• Does NOT include: B2B division value, rep recruiting advantages, or strategic optionality</t>
  </si>
  <si>
    <t xml:space="preserve">Use Case</t>
  </si>
  <si>
    <t xml:space="preserve">Department</t>
  </si>
  <si>
    <t xml:space="preserve">Description</t>
  </si>
  <si>
    <t xml:space="preserve">Difficulty</t>
  </si>
  <si>
    <t xml:space="preserve">Status</t>
  </si>
  <si>
    <t xml:space="preserve">Priority</t>
  </si>
  <si>
    <t xml:space="preserve">Notes</t>
  </si>
  <si>
    <t xml:space="preserve">Commission Statement Aggregation</t>
  </si>
  <si>
    <t xml:space="preserve">Operations</t>
  </si>
  <si>
    <t xml:space="preserve">Automated download and parsing of commission statements from 77 carrier websites - PDF, HTML, Excel formats</t>
  </si>
  <si>
    <t xml:space="preserve">Complex</t>
  </si>
  <si>
    <t xml:space="preserve">Discovery</t>
  </si>
  <si>
    <t xml:space="preserve">P0 - Foundation</t>
  </si>
  <si>
    <t xml:space="preserve">Enables all downstream value; eliminates 'month to get a week of data' problem</t>
  </si>
  <si>
    <t xml:space="preserve">Go High Level CRM Sync</t>
  </si>
  <si>
    <t xml:space="preserve">Push verified policy data to CRM - replaces rep-estimated values with actuals, tracks issued/pending/chargeback status</t>
  </si>
  <si>
    <t xml:space="preserve">Medium</t>
  </si>
  <si>
    <t xml:space="preserve">Identified</t>
  </si>
  <si>
    <t xml:space="preserve">Turns CRM into source of truth; enables accurate rep/carrier reporting</t>
  </si>
  <si>
    <t xml:space="preserve">Revenue Dashboard</t>
  </si>
  <si>
    <t xml:space="preserve">Leadership</t>
  </si>
  <si>
    <t xml:space="preserve">Real-time view of premium by carrier, by rep, trends over time, YoY comparisons</t>
  </si>
  <si>
    <t xml:space="preserve">Future</t>
  </si>
  <si>
    <t xml:space="preserve">P1 - Quick Win</t>
  </si>
  <si>
    <t xml:space="preserve">First time leadership will have actual visibility into business performance</t>
  </si>
  <si>
    <t xml:space="preserve">Rep Performance Scorecards</t>
  </si>
  <si>
    <t xml:space="preserve">Sales Management</t>
  </si>
  <si>
    <t xml:space="preserve">Individual rep metrics: policies written, premium volume, chargebacks, carrier mix, trends</t>
  </si>
  <si>
    <t xml:space="preserve">Foundation for coaching program; identify top performers to replicate</t>
  </si>
  <si>
    <t xml:space="preserve">Chargeback Alert System</t>
  </si>
  <si>
    <t xml:space="preserve">Finance/Sales</t>
  </si>
  <si>
    <t xml:space="preserve">Proactive alerts when policies show warning signs, trigger retention outreach before lapse</t>
  </si>
  <si>
    <t xml:space="preserve">Direct revenue protection; 60-day window for intervention mentioned on call</t>
  </si>
  <si>
    <t xml:space="preserve">Carrier Performance Analysis</t>
  </si>
  <si>
    <t xml:space="preserve">Strategy</t>
  </si>
  <si>
    <t xml:space="preserve">Compare 77 carriers on approval rates, processing time, chargeback rates, rep satisfaction</t>
  </si>
  <si>
    <t xml:space="preserve">P2 - Optimization</t>
  </si>
  <si>
    <t xml:space="preserve">Inform carrier strategy; which partnerships to deepen vs. reduce</t>
  </si>
  <si>
    <t xml:space="preserve">B2B Division Automation</t>
  </si>
  <si>
    <t xml:space="preserve">Sales (New)</t>
  </si>
  <si>
    <t xml:space="preserve">Separate workflow track for upcoming business insurance division</t>
  </si>
  <si>
    <t xml:space="preserve">TBD</t>
  </si>
  <si>
    <t xml:space="preserve">P3 - Expansion</t>
  </si>
  <si>
    <t xml:space="preserve">Mentioned as upcoming initiative - scope TBD</t>
  </si>
  <si>
    <t xml:space="preserve">Rep Onboarding Automation</t>
  </si>
  <si>
    <t xml:space="preserve">HR</t>
  </si>
  <si>
    <t xml:space="preserve">Streamline new rep paperwork, credentialing, carrier appointments</t>
  </si>
  <si>
    <t xml:space="preserve">350 reps suggests meaningful hiring volume</t>
  </si>
  <si>
    <t xml:space="preserve">ATIG Implementation Roadmap</t>
  </si>
  <si>
    <t xml:space="preserve">PHASE 1: Foundation (Weeks 1-4)</t>
  </si>
  <si>
    <t xml:space="preserve">Goal: Solve the immediate data collection problem</t>
  </si>
  <si>
    <t xml:space="preserve">Commission Statement Automation</t>
  </si>
  <si>
    <t xml:space="preserve">Build automated download workflows for priority carriers</t>
  </si>
  <si>
    <t xml:space="preserve">Start with top 10 carriers by volume, expand weekly</t>
  </si>
  <si>
    <t xml:space="preserve">Document Parsing</t>
  </si>
  <si>
    <t xml:space="preserve">Configure AI parsing for different statement formats</t>
  </si>
  <si>
    <t xml:space="preserve">PDF, Excel, HTML - build templates as formats are encountered</t>
  </si>
  <si>
    <t xml:space="preserve">Zapier Tables Setup</t>
  </si>
  <si>
    <t xml:space="preserve">Central database for all commission data</t>
  </si>
  <si>
    <t xml:space="preserve">Normalized schema for cross-carrier reporting</t>
  </si>
  <si>
    <t xml:space="preserve">Go High Level Integration</t>
  </si>
  <si>
    <t xml:space="preserve">Connect parsed data to CRM records</t>
  </si>
  <si>
    <t xml:space="preserve">Match on policy number, update status and values</t>
  </si>
  <si>
    <t xml:space="preserve">PHASE 2: Visibility (Weeks 5-8)</t>
  </si>
  <si>
    <t xml:space="preserve">Goal: Turn data into actionable insights</t>
  </si>
  <si>
    <t xml:space="preserve">Build leadership reporting interface</t>
  </si>
  <si>
    <t xml:space="preserve">Carrier mix, rep performance, trend lines</t>
  </si>
  <si>
    <t xml:space="preserve">Rep Scorecards</t>
  </si>
  <si>
    <t xml:space="preserve">Individual performance tracking</t>
  </si>
  <si>
    <t xml:space="preserve">Integrate with existing management cadence</t>
  </si>
  <si>
    <t xml:space="preserve">Chargeback Alerts</t>
  </si>
  <si>
    <t xml:space="preserve">Proactive notification system</t>
  </si>
  <si>
    <t xml:space="preserve">Trigger when policy shows lapse indicators</t>
  </si>
  <si>
    <t xml:space="preserve">PHASE 3: Optimization (Weeks 9-12)</t>
  </si>
  <si>
    <t xml:space="preserve">Goal: Drive measurable business improvements</t>
  </si>
  <si>
    <t xml:space="preserve">Carrier Analysis</t>
  </si>
  <si>
    <t xml:space="preserve">Performance comparison across 77 carriers</t>
  </si>
  <si>
    <t xml:space="preserve">Inform strategic carrier relationships</t>
  </si>
  <si>
    <t xml:space="preserve">Coaching Integration</t>
  </si>
  <si>
    <t xml:space="preserve">Connect performance data to training</t>
  </si>
  <si>
    <t xml:space="preserve">Identify what top performers do differently</t>
  </si>
  <si>
    <t xml:space="preserve">Process Refinement</t>
  </si>
  <si>
    <t xml:space="preserve">Optimize based on first 60 days of data</t>
  </si>
  <si>
    <t xml:space="preserve">Tune alerts, reports, workflows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</si>
</sst>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u val="single"/>
      <sz val="12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u val="single"/>
      <sz val="14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4"/>
      <color rgb="FF00640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55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0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0" t="s">
        <v>3</v>
      </c>
      <c r="C5" s="3" t="n">
        <v>350</v>
      </c>
      <c r="D5" s="4" t="s">
        <v>4</v>
      </c>
    </row>
    <row r="6" customFormat="false" ht="15" hidden="false" customHeight="false" outlineLevel="0" collapsed="false">
      <c r="B6" s="0" t="s">
        <v>5</v>
      </c>
      <c r="C6" s="3" t="n">
        <v>1500</v>
      </c>
      <c r="D6" s="4" t="s">
        <v>6</v>
      </c>
    </row>
    <row r="7" customFormat="false" ht="15" hidden="false" customHeight="false" outlineLevel="0" collapsed="false">
      <c r="B7" s="0" t="s">
        <v>7</v>
      </c>
      <c r="C7" s="5" t="n">
        <v>960</v>
      </c>
      <c r="D7" s="4" t="s">
        <v>8</v>
      </c>
    </row>
    <row r="8" customFormat="false" ht="15" hidden="false" customHeight="false" outlineLevel="0" collapsed="false">
      <c r="B8" s="6" t="s">
        <v>9</v>
      </c>
      <c r="C8" s="7" t="n">
        <f aca="false">C6*12*C7</f>
        <v>17280000</v>
      </c>
    </row>
    <row r="9" customFormat="false" ht="15" hidden="false" customHeight="false" outlineLevel="0" collapsed="false">
      <c r="B9" s="0" t="s">
        <v>10</v>
      </c>
      <c r="C9" s="8" t="n">
        <v>0.05</v>
      </c>
      <c r="D9" s="4" t="s">
        <v>11</v>
      </c>
    </row>
    <row r="10" customFormat="false" ht="15" hidden="false" customHeight="false" outlineLevel="0" collapsed="false">
      <c r="B10" s="6" t="s">
        <v>12</v>
      </c>
      <c r="C10" s="7" t="n">
        <f aca="false">C8*C9</f>
        <v>864000</v>
      </c>
    </row>
    <row r="13" customFormat="false" ht="15" hidden="false" customHeight="false" outlineLevel="0" collapsed="false">
      <c r="B13" s="2" t="s">
        <v>13</v>
      </c>
    </row>
    <row r="14" customFormat="false" ht="15" hidden="false" customHeight="false" outlineLevel="0" collapsed="false">
      <c r="B14" s="0" t="s">
        <v>14</v>
      </c>
      <c r="C14" s="0" t="s">
        <v>15</v>
      </c>
    </row>
    <row r="15" customFormat="false" ht="15" hidden="false" customHeight="false" outlineLevel="0" collapsed="false">
      <c r="B15" s="0" t="s">
        <v>16</v>
      </c>
      <c r="C15" s="0" t="s">
        <v>17</v>
      </c>
    </row>
    <row r="17" customFormat="false" ht="15" hidden="false" customHeight="false" outlineLevel="0" collapsed="false">
      <c r="B17" s="0" t="s">
        <v>18</v>
      </c>
      <c r="C17" s="8" t="n">
        <v>0.1</v>
      </c>
      <c r="D17" s="4" t="s">
        <v>19</v>
      </c>
    </row>
    <row r="18" customFormat="false" ht="15" hidden="false" customHeight="false" outlineLevel="0" collapsed="false">
      <c r="B18" s="0" t="s">
        <v>20</v>
      </c>
      <c r="C18" s="7" t="n">
        <f aca="false">C8*C17</f>
        <v>1728000</v>
      </c>
    </row>
    <row r="19" customFormat="false" ht="15" hidden="false" customHeight="false" outlineLevel="0" collapsed="false">
      <c r="B19" s="6" t="s">
        <v>21</v>
      </c>
      <c r="C19" s="7" t="n">
        <f aca="false">C18*C9</f>
        <v>86400</v>
      </c>
    </row>
    <row r="22" customFormat="false" ht="15" hidden="false" customHeight="false" outlineLevel="0" collapsed="false">
      <c r="B22" s="2" t="s">
        <v>22</v>
      </c>
    </row>
    <row r="23" customFormat="false" ht="15" hidden="false" customHeight="false" outlineLevel="0" collapsed="false">
      <c r="B23" s="0" t="s">
        <v>14</v>
      </c>
      <c r="C23" s="0" t="s">
        <v>23</v>
      </c>
    </row>
    <row r="24" customFormat="false" ht="15" hidden="false" customHeight="false" outlineLevel="0" collapsed="false">
      <c r="B24" s="0" t="s">
        <v>16</v>
      </c>
      <c r="C24" s="0" t="s">
        <v>24</v>
      </c>
    </row>
    <row r="26" customFormat="false" ht="15" hidden="false" customHeight="false" outlineLevel="0" collapsed="false">
      <c r="B26" s="0" t="s">
        <v>25</v>
      </c>
      <c r="C26" s="8" t="n">
        <v>0.15</v>
      </c>
      <c r="D26" s="4" t="s">
        <v>26</v>
      </c>
    </row>
    <row r="27" customFormat="false" ht="15" hidden="false" customHeight="false" outlineLevel="0" collapsed="false">
      <c r="B27" s="0" t="s">
        <v>27</v>
      </c>
      <c r="C27" s="7" t="n">
        <f aca="false">C8*C26</f>
        <v>2592000</v>
      </c>
    </row>
    <row r="28" customFormat="false" ht="15" hidden="false" customHeight="false" outlineLevel="0" collapsed="false">
      <c r="B28" s="0" t="s">
        <v>28</v>
      </c>
      <c r="C28" s="8" t="n">
        <v>0.2</v>
      </c>
      <c r="D28" s="4" t="s">
        <v>29</v>
      </c>
    </row>
    <row r="29" customFormat="false" ht="15" hidden="false" customHeight="false" outlineLevel="0" collapsed="false">
      <c r="B29" s="0" t="s">
        <v>30</v>
      </c>
      <c r="C29" s="7" t="n">
        <f aca="false">C27*C28</f>
        <v>518400</v>
      </c>
    </row>
    <row r="30" customFormat="false" ht="15" hidden="false" customHeight="false" outlineLevel="0" collapsed="false">
      <c r="B30" s="6" t="s">
        <v>21</v>
      </c>
      <c r="C30" s="7" t="n">
        <f aca="false">C29*C9</f>
        <v>25920</v>
      </c>
    </row>
    <row r="33" customFormat="false" ht="15" hidden="false" customHeight="false" outlineLevel="0" collapsed="false">
      <c r="B33" s="2" t="s">
        <v>31</v>
      </c>
    </row>
    <row r="34" customFormat="false" ht="15" hidden="false" customHeight="false" outlineLevel="0" collapsed="false">
      <c r="B34" s="0" t="s">
        <v>14</v>
      </c>
      <c r="C34" s="0" t="s">
        <v>32</v>
      </c>
    </row>
    <row r="35" customFormat="false" ht="15" hidden="false" customHeight="false" outlineLevel="0" collapsed="false">
      <c r="B35" s="0" t="s">
        <v>16</v>
      </c>
      <c r="C35" s="0" t="s">
        <v>33</v>
      </c>
    </row>
    <row r="37" customFormat="false" ht="15" hidden="false" customHeight="false" outlineLevel="0" collapsed="false">
      <c r="B37" s="0" t="s">
        <v>34</v>
      </c>
      <c r="C37" s="8" t="n">
        <v>0.05</v>
      </c>
      <c r="D37" s="4" t="s">
        <v>35</v>
      </c>
    </row>
    <row r="38" customFormat="false" ht="15" hidden="false" customHeight="false" outlineLevel="0" collapsed="false">
      <c r="B38" s="0" t="s">
        <v>36</v>
      </c>
      <c r="C38" s="7" t="n">
        <f aca="false">C8*C37</f>
        <v>864000</v>
      </c>
    </row>
    <row r="39" customFormat="false" ht="15" hidden="false" customHeight="false" outlineLevel="0" collapsed="false">
      <c r="B39" s="6" t="s">
        <v>21</v>
      </c>
      <c r="C39" s="7" t="n">
        <f aca="false">C38*C9</f>
        <v>43200</v>
      </c>
    </row>
    <row r="42" customFormat="false" ht="15" hidden="false" customHeight="false" outlineLevel="0" collapsed="false">
      <c r="B42" s="2" t="s">
        <v>37</v>
      </c>
    </row>
    <row r="43" customFormat="false" ht="15" hidden="false" customHeight="false" outlineLevel="0" collapsed="false">
      <c r="B43" s="0" t="s">
        <v>14</v>
      </c>
      <c r="C43" s="0" t="s">
        <v>38</v>
      </c>
    </row>
    <row r="44" customFormat="false" ht="15" hidden="false" customHeight="false" outlineLevel="0" collapsed="false">
      <c r="B44" s="0" t="s">
        <v>16</v>
      </c>
      <c r="C44" s="0" t="s">
        <v>39</v>
      </c>
    </row>
    <row r="46" customFormat="false" ht="15" hidden="false" customHeight="false" outlineLevel="0" collapsed="false">
      <c r="B46" s="0" t="s">
        <v>40</v>
      </c>
      <c r="C46" s="3" t="n">
        <v>60</v>
      </c>
      <c r="D46" s="4" t="s">
        <v>41</v>
      </c>
    </row>
    <row r="47" customFormat="false" ht="15" hidden="false" customHeight="false" outlineLevel="0" collapsed="false">
      <c r="B47" s="0" t="s">
        <v>42</v>
      </c>
      <c r="C47" s="3" t="n">
        <v>6</v>
      </c>
      <c r="D47" s="4" t="s">
        <v>43</v>
      </c>
    </row>
    <row r="48" customFormat="false" ht="15" hidden="false" customHeight="false" outlineLevel="0" collapsed="false">
      <c r="B48" s="0" t="s">
        <v>44</v>
      </c>
      <c r="C48" s="5" t="n">
        <v>50</v>
      </c>
    </row>
    <row r="49" customFormat="false" ht="15" hidden="false" customHeight="false" outlineLevel="0" collapsed="false">
      <c r="B49" s="6" t="s">
        <v>45</v>
      </c>
      <c r="C49" s="7" t="n">
        <f aca="false">(C46-C47)*12*C48</f>
        <v>32400</v>
      </c>
    </row>
    <row r="52" customFormat="false" ht="17.35" hidden="false" customHeight="false" outlineLevel="0" collapsed="false">
      <c r="B52" s="9" t="s">
        <v>46</v>
      </c>
    </row>
    <row r="53" customFormat="false" ht="15" hidden="false" customHeight="false" outlineLevel="0" collapsed="false">
      <c r="B53" s="0" t="s">
        <v>47</v>
      </c>
      <c r="C53" s="7" t="n">
        <f aca="false">C19</f>
        <v>86400</v>
      </c>
    </row>
    <row r="54" customFormat="false" ht="15" hidden="false" customHeight="false" outlineLevel="0" collapsed="false">
      <c r="B54" s="0" t="s">
        <v>48</v>
      </c>
      <c r="C54" s="7" t="n">
        <f aca="false">C30</f>
        <v>25920</v>
      </c>
    </row>
    <row r="55" customFormat="false" ht="15" hidden="false" customHeight="false" outlineLevel="0" collapsed="false">
      <c r="B55" s="0" t="s">
        <v>49</v>
      </c>
      <c r="C55" s="7" t="n">
        <f aca="false">C39</f>
        <v>43200</v>
      </c>
    </row>
    <row r="56" customFormat="false" ht="15" hidden="false" customHeight="false" outlineLevel="0" collapsed="false">
      <c r="B56" s="0" t="s">
        <v>50</v>
      </c>
      <c r="C56" s="7" t="n">
        <f aca="false">C49</f>
        <v>32400</v>
      </c>
    </row>
    <row r="58" customFormat="false" ht="17.35" hidden="false" customHeight="false" outlineLevel="0" collapsed="false">
      <c r="B58" s="10" t="s">
        <v>51</v>
      </c>
      <c r="C58" s="11" t="n">
        <f aca="false">SUM(C53:C56)</f>
        <v>187920</v>
      </c>
    </row>
    <row r="60" customFormat="false" ht="15" hidden="false" customHeight="false" outlineLevel="0" collapsed="false">
      <c r="B60" s="0" t="s">
        <v>52</v>
      </c>
      <c r="C60" s="12" t="n">
        <f aca="false">C58/C10</f>
        <v>0.2175</v>
      </c>
    </row>
    <row r="63" customFormat="false" ht="15" hidden="false" customHeight="false" outlineLevel="0" collapsed="false">
      <c r="B63" s="6" t="s">
        <v>53</v>
      </c>
    </row>
    <row r="64" customFormat="false" ht="15" hidden="false" customHeight="false" outlineLevel="0" collapsed="false">
      <c r="B64" s="0" t="s">
        <v>54</v>
      </c>
    </row>
    <row r="65" customFormat="false" ht="15" hidden="false" customHeight="false" outlineLevel="0" collapsed="false">
      <c r="B65" s="0" t="s">
        <v>55</v>
      </c>
    </row>
    <row r="66" customFormat="false" ht="15" hidden="false" customHeight="false" outlineLevel="0" collapsed="false">
      <c r="B66" s="0" t="s">
        <v>56</v>
      </c>
    </row>
    <row r="67" customFormat="false" ht="15" hidden="false" customHeight="false" outlineLevel="0" collapsed="false">
      <c r="B67" s="0" t="s">
        <v>57</v>
      </c>
    </row>
    <row r="68" customFormat="false" ht="15" hidden="false" customHeight="false" outlineLevel="0" collapsed="false">
      <c r="B68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7" min="7" style="0" width="55"/>
  </cols>
  <sheetData>
    <row r="1" customFormat="false" ht="15" hidden="false" customHeight="false" outlineLevel="0" collapsed="false">
      <c r="A1" s="13" t="s">
        <v>59</v>
      </c>
      <c r="B1" s="13" t="s">
        <v>60</v>
      </c>
      <c r="C1" s="13" t="s">
        <v>61</v>
      </c>
      <c r="D1" s="13" t="s">
        <v>62</v>
      </c>
      <c r="E1" s="13" t="s">
        <v>63</v>
      </c>
      <c r="F1" s="13" t="s">
        <v>64</v>
      </c>
      <c r="G1" s="13" t="s">
        <v>65</v>
      </c>
    </row>
    <row r="2" customFormat="false" ht="28.35" hidden="false" customHeight="false" outlineLevel="0" collapsed="false">
      <c r="A2" s="14" t="s">
        <v>66</v>
      </c>
      <c r="B2" s="14" t="s">
        <v>67</v>
      </c>
      <c r="C2" s="14" t="s">
        <v>68</v>
      </c>
      <c r="D2" s="14" t="s">
        <v>69</v>
      </c>
      <c r="E2" s="14" t="s">
        <v>70</v>
      </c>
      <c r="F2" s="14" t="s">
        <v>71</v>
      </c>
      <c r="G2" s="14" t="s">
        <v>72</v>
      </c>
    </row>
    <row r="3" customFormat="false" ht="28.35" hidden="false" customHeight="false" outlineLevel="0" collapsed="false">
      <c r="A3" s="14" t="s">
        <v>73</v>
      </c>
      <c r="B3" s="14" t="s">
        <v>67</v>
      </c>
      <c r="C3" s="14" t="s">
        <v>74</v>
      </c>
      <c r="D3" s="14" t="s">
        <v>75</v>
      </c>
      <c r="E3" s="14" t="s">
        <v>76</v>
      </c>
      <c r="F3" s="14" t="s">
        <v>71</v>
      </c>
      <c r="G3" s="14" t="s">
        <v>77</v>
      </c>
    </row>
    <row r="4" customFormat="false" ht="28.35" hidden="false" customHeight="false" outlineLevel="0" collapsed="false">
      <c r="A4" s="14" t="s">
        <v>78</v>
      </c>
      <c r="B4" s="14" t="s">
        <v>79</v>
      </c>
      <c r="C4" s="14" t="s">
        <v>80</v>
      </c>
      <c r="D4" s="14" t="s">
        <v>75</v>
      </c>
      <c r="E4" s="14" t="s">
        <v>81</v>
      </c>
      <c r="F4" s="14" t="s">
        <v>82</v>
      </c>
      <c r="G4" s="14" t="s">
        <v>83</v>
      </c>
    </row>
    <row r="5" customFormat="false" ht="28.35" hidden="false" customHeight="false" outlineLevel="0" collapsed="false">
      <c r="A5" s="14" t="s">
        <v>84</v>
      </c>
      <c r="B5" s="14" t="s">
        <v>85</v>
      </c>
      <c r="C5" s="14" t="s">
        <v>86</v>
      </c>
      <c r="D5" s="14" t="s">
        <v>75</v>
      </c>
      <c r="E5" s="14" t="s">
        <v>81</v>
      </c>
      <c r="F5" s="14" t="s">
        <v>82</v>
      </c>
      <c r="G5" s="14" t="s">
        <v>87</v>
      </c>
    </row>
    <row r="6" customFormat="false" ht="28.35" hidden="false" customHeight="false" outlineLevel="0" collapsed="false">
      <c r="A6" s="14" t="s">
        <v>88</v>
      </c>
      <c r="B6" s="14" t="s">
        <v>89</v>
      </c>
      <c r="C6" s="14" t="s">
        <v>90</v>
      </c>
      <c r="D6" s="14" t="s">
        <v>75</v>
      </c>
      <c r="E6" s="14" t="s">
        <v>81</v>
      </c>
      <c r="F6" s="14" t="s">
        <v>82</v>
      </c>
      <c r="G6" s="14" t="s">
        <v>91</v>
      </c>
    </row>
    <row r="7" customFormat="false" ht="28.35" hidden="false" customHeight="false" outlineLevel="0" collapsed="false">
      <c r="A7" s="14" t="s">
        <v>92</v>
      </c>
      <c r="B7" s="14" t="s">
        <v>93</v>
      </c>
      <c r="C7" s="14" t="s">
        <v>94</v>
      </c>
      <c r="D7" s="14" t="s">
        <v>75</v>
      </c>
      <c r="E7" s="14" t="s">
        <v>81</v>
      </c>
      <c r="F7" s="14" t="s">
        <v>95</v>
      </c>
      <c r="G7" s="14" t="s">
        <v>96</v>
      </c>
    </row>
    <row r="8" customFormat="false" ht="15" hidden="false" customHeight="false" outlineLevel="0" collapsed="false">
      <c r="A8" s="14" t="s">
        <v>97</v>
      </c>
      <c r="B8" s="14" t="s">
        <v>98</v>
      </c>
      <c r="C8" s="14" t="s">
        <v>99</v>
      </c>
      <c r="D8" s="14" t="s">
        <v>100</v>
      </c>
      <c r="E8" s="14" t="s">
        <v>81</v>
      </c>
      <c r="F8" s="14" t="s">
        <v>101</v>
      </c>
      <c r="G8" s="14" t="s">
        <v>102</v>
      </c>
    </row>
    <row r="9" customFormat="false" ht="15" hidden="false" customHeight="false" outlineLevel="0" collapsed="false">
      <c r="A9" s="14" t="s">
        <v>103</v>
      </c>
      <c r="B9" s="14" t="s">
        <v>104</v>
      </c>
      <c r="C9" s="14" t="s">
        <v>105</v>
      </c>
      <c r="D9" s="14" t="s">
        <v>75</v>
      </c>
      <c r="E9" s="14" t="s">
        <v>81</v>
      </c>
      <c r="F9" s="14" t="s">
        <v>101</v>
      </c>
      <c r="G9" s="14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4" min="3" style="0" width="45"/>
  </cols>
  <sheetData>
    <row r="1" customFormat="false" ht="17.35" hidden="false" customHeight="false" outlineLevel="0" collapsed="false">
      <c r="B1" s="10" t="s">
        <v>107</v>
      </c>
    </row>
    <row r="3" customFormat="false" ht="15" hidden="false" customHeight="false" outlineLevel="0" collapsed="false">
      <c r="B3" s="2" t="s">
        <v>108</v>
      </c>
    </row>
    <row r="4" customFormat="false" ht="15" hidden="false" customHeight="false" outlineLevel="0" collapsed="false">
      <c r="B4" s="0" t="s">
        <v>109</v>
      </c>
    </row>
    <row r="5" customFormat="false" ht="15" hidden="false" customHeight="false" outlineLevel="0" collapsed="false">
      <c r="B5" s="0" t="s">
        <v>110</v>
      </c>
      <c r="C5" s="0" t="s">
        <v>111</v>
      </c>
      <c r="D5" s="0" t="s">
        <v>112</v>
      </c>
    </row>
    <row r="6" customFormat="false" ht="15" hidden="false" customHeight="false" outlineLevel="0" collapsed="false">
      <c r="B6" s="0" t="s">
        <v>113</v>
      </c>
      <c r="C6" s="0" t="s">
        <v>114</v>
      </c>
      <c r="D6" s="0" t="s">
        <v>115</v>
      </c>
    </row>
    <row r="7" customFormat="false" ht="15" hidden="false" customHeight="false" outlineLevel="0" collapsed="false">
      <c r="B7" s="0" t="s">
        <v>116</v>
      </c>
      <c r="C7" s="0" t="s">
        <v>117</v>
      </c>
      <c r="D7" s="0" t="s">
        <v>118</v>
      </c>
    </row>
    <row r="8" customFormat="false" ht="15" hidden="false" customHeight="false" outlineLevel="0" collapsed="false">
      <c r="B8" s="0" t="s">
        <v>119</v>
      </c>
      <c r="C8" s="0" t="s">
        <v>120</v>
      </c>
      <c r="D8" s="0" t="s">
        <v>121</v>
      </c>
    </row>
    <row r="11" customFormat="false" ht="15" hidden="false" customHeight="false" outlineLevel="0" collapsed="false">
      <c r="B11" s="2" t="s">
        <v>122</v>
      </c>
    </row>
    <row r="12" customFormat="false" ht="15" hidden="false" customHeight="false" outlineLevel="0" collapsed="false">
      <c r="B12" s="0" t="s">
        <v>123</v>
      </c>
    </row>
    <row r="13" customFormat="false" ht="15" hidden="false" customHeight="false" outlineLevel="0" collapsed="false">
      <c r="B13" s="0" t="s">
        <v>78</v>
      </c>
      <c r="C13" s="0" t="s">
        <v>124</v>
      </c>
      <c r="D13" s="0" t="s">
        <v>125</v>
      </c>
    </row>
    <row r="14" customFormat="false" ht="15" hidden="false" customHeight="false" outlineLevel="0" collapsed="false">
      <c r="B14" s="0" t="s">
        <v>126</v>
      </c>
      <c r="C14" s="0" t="s">
        <v>127</v>
      </c>
      <c r="D14" s="0" t="s">
        <v>128</v>
      </c>
    </row>
    <row r="15" customFormat="false" ht="15" hidden="false" customHeight="false" outlineLevel="0" collapsed="false">
      <c r="B15" s="0" t="s">
        <v>129</v>
      </c>
      <c r="C15" s="0" t="s">
        <v>130</v>
      </c>
      <c r="D15" s="0" t="s">
        <v>131</v>
      </c>
    </row>
    <row r="18" customFormat="false" ht="15" hidden="false" customHeight="false" outlineLevel="0" collapsed="false">
      <c r="B18" s="2" t="s">
        <v>132</v>
      </c>
    </row>
    <row r="19" customFormat="false" ht="15" hidden="false" customHeight="false" outlineLevel="0" collapsed="false">
      <c r="B19" s="0" t="s">
        <v>133</v>
      </c>
    </row>
    <row r="20" customFormat="false" ht="15" hidden="false" customHeight="false" outlineLevel="0" collapsed="false">
      <c r="B20" s="0" t="s">
        <v>134</v>
      </c>
      <c r="C20" s="0" t="s">
        <v>135</v>
      </c>
      <c r="D20" s="0" t="s">
        <v>136</v>
      </c>
    </row>
    <row r="21" customFormat="false" ht="15" hidden="false" customHeight="false" outlineLevel="0" collapsed="false">
      <c r="B21" s="0" t="s">
        <v>137</v>
      </c>
      <c r="C21" s="0" t="s">
        <v>138</v>
      </c>
      <c r="D21" s="0" t="s">
        <v>139</v>
      </c>
    </row>
    <row r="22" customFormat="false" ht="15" hidden="false" customHeight="false" outlineLevel="0" collapsed="false">
      <c r="B22" s="0" t="s">
        <v>140</v>
      </c>
      <c r="C22" s="0" t="s">
        <v>141</v>
      </c>
      <c r="D22" s="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2026-01-09T20:48:35Z</dcterms:created>
  <dc:creator>openpyxl</dc:creator>
  <dc:description/>
  <dc:language>en-US</dc:language>
  <cp:lastModifiedBy/>
  <dcterms:modified xsi:type="dcterms:W3CDTF">2026-01-09T20:48:35Z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