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ao/Documents/"/>
    </mc:Choice>
  </mc:AlternateContent>
  <xr:revisionPtr revIDLastSave="0" documentId="8_{C934E37C-A133-5345-8700-6D23506DA6F4}" xr6:coauthVersionLast="47" xr6:coauthVersionMax="47" xr10:uidLastSave="{00000000-0000-0000-0000-000000000000}"/>
  <bookViews>
    <workbookView xWindow="1500" yWindow="1320" windowWidth="27640" windowHeight="16920" xr2:uid="{3F83FDEF-50DA-A941-B21C-1FD367617887}"/>
  </bookViews>
  <sheets>
    <sheet name="IT Licensing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2" l="1"/>
  <c r="E41" i="2" s="1"/>
  <c r="D38" i="2"/>
  <c r="D41" i="2" s="1"/>
  <c r="C38" i="2"/>
  <c r="C41" i="2" s="1"/>
  <c r="F41" i="2" s="1"/>
  <c r="C23" i="2"/>
  <c r="D22" i="2"/>
  <c r="C22" i="2"/>
  <c r="C21" i="2"/>
  <c r="C20" i="2"/>
  <c r="D18" i="2"/>
  <c r="C18" i="2"/>
  <c r="C17" i="2"/>
  <c r="D16" i="2"/>
  <c r="C16" i="2"/>
  <c r="C12" i="2"/>
  <c r="D12" i="2" s="1"/>
  <c r="D11" i="2"/>
  <c r="E11" i="2" s="1"/>
  <c r="E22" i="2" s="1"/>
  <c r="C10" i="2"/>
  <c r="D10" i="2" s="1"/>
  <c r="D9" i="2"/>
  <c r="D20" i="2" s="1"/>
  <c r="C8" i="2"/>
  <c r="D8" i="2" s="1"/>
  <c r="D7" i="2"/>
  <c r="E7" i="2" s="1"/>
  <c r="E18" i="2" s="1"/>
  <c r="C6" i="2"/>
  <c r="C13" i="2" s="1"/>
  <c r="D5" i="2"/>
  <c r="E5" i="2" s="1"/>
  <c r="E12" i="2" l="1"/>
  <c r="E23" i="2" s="1"/>
  <c r="D23" i="2"/>
  <c r="D21" i="2"/>
  <c r="E10" i="2"/>
  <c r="E21" i="2" s="1"/>
  <c r="E16" i="2"/>
  <c r="E8" i="2"/>
  <c r="E19" i="2" s="1"/>
  <c r="D19" i="2"/>
  <c r="E9" i="2"/>
  <c r="E20" i="2" s="1"/>
  <c r="D6" i="2"/>
  <c r="C19" i="2"/>
  <c r="C24" i="2" s="1"/>
  <c r="C26" i="2" s="1"/>
  <c r="C28" i="2" s="1"/>
  <c r="C45" i="2" l="1"/>
  <c r="D17" i="2"/>
  <c r="D24" i="2" s="1"/>
  <c r="E6" i="2"/>
  <c r="D13" i="2"/>
  <c r="D26" i="2" s="1"/>
  <c r="D28" i="2" s="1"/>
  <c r="E17" i="2" l="1"/>
  <c r="E24" i="2" s="1"/>
  <c r="E13" i="2"/>
  <c r="E26" i="2" l="1"/>
  <c r="E28" i="2" s="1"/>
  <c r="F28" i="2" s="1"/>
  <c r="C46" i="2" s="1"/>
</calcChain>
</file>

<file path=xl/sharedStrings.xml><?xml version="1.0" encoding="utf-8"?>
<sst xmlns="http://schemas.openxmlformats.org/spreadsheetml/2006/main" count="49" uniqueCount="35">
  <si>
    <t>Value - Wave 1 Apps Only</t>
  </si>
  <si>
    <t>Dormant License Cost - Current State</t>
  </si>
  <si>
    <t>Notes</t>
  </si>
  <si>
    <t>Notion: # of dormant licenses</t>
  </si>
  <si>
    <t>Assume 10% YoY increase to account for headcount growth</t>
  </si>
  <si>
    <t xml:space="preserve">Notion: annual cost per seat </t>
  </si>
  <si>
    <t>Assume 5% YoY increase to account for inflation</t>
  </si>
  <si>
    <t xml:space="preserve">Smartsheet: # of dormant licenses </t>
  </si>
  <si>
    <t xml:space="preserve">Smartsheet: annual cost per seat </t>
  </si>
  <si>
    <t xml:space="preserve">Coupa: # of dormant licenses </t>
  </si>
  <si>
    <t xml:space="preserve">Coupa: annual cost per seat </t>
  </si>
  <si>
    <t xml:space="preserve">Benchling: # of dormant licenses </t>
  </si>
  <si>
    <t xml:space="preserve">Benchling: annual cost per seat </t>
  </si>
  <si>
    <t>Total cost of dormant licenses</t>
  </si>
  <si>
    <t>Dormant License Cost - Future State</t>
  </si>
  <si>
    <t>Assume 80% decrease</t>
  </si>
  <si>
    <t>Assume 33% decrease as some dormant users still need just in time access</t>
  </si>
  <si>
    <t>Value of Delta</t>
  </si>
  <si>
    <t>% Realized</t>
  </si>
  <si>
    <t>Total Savings</t>
  </si>
  <si>
    <t>Cost of Solution</t>
  </si>
  <si>
    <t>Effort Required</t>
  </si>
  <si>
    <t>Blended Hourly Rate of Internal Resources</t>
  </si>
  <si>
    <t xml:space="preserve">Scoping Effort - IT </t>
  </si>
  <si>
    <t xml:space="preserve">Build - IT </t>
  </si>
  <si>
    <t xml:space="preserve">Test - IT </t>
  </si>
  <si>
    <t xml:space="preserve">Roll Out - IT </t>
  </si>
  <si>
    <t xml:space="preserve">Total IT Time  </t>
  </si>
  <si>
    <t>Vendor Costs</t>
  </si>
  <si>
    <t>Workato, Zapier, or Similar - 1st year build support, subsequent 2 years usage cost</t>
  </si>
  <si>
    <t>Total $ Cost</t>
  </si>
  <si>
    <t>ROI</t>
  </si>
  <si>
    <t xml:space="preserve">2026 ROI </t>
  </si>
  <si>
    <t>x</t>
  </si>
  <si>
    <t>3-Year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</si>
</sst>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0"/>
      <name val="Aptos Narrow"/>
      <scheme val="minor"/>
    </font>
    <font>
      <b/>
      <sz val="14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b/>
      <sz val="14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4"/>
      <color rgb="FFFFFFFF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EFAE"/>
        <bgColor indexed="64"/>
      </patternFill>
    </fill>
    <fill>
      <patternFill patternType="solid">
        <fgColor rgb="FFFFEFA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156082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1" fontId="0" fillId="3" borderId="0" xfId="0" applyNumberFormat="1" applyFill="1"/>
    <xf numFmtId="164" fontId="0" fillId="3" borderId="0" xfId="1" applyNumberFormat="1" applyFont="1" applyFill="1"/>
    <xf numFmtId="0" fontId="0" fillId="3" borderId="0" xfId="0" applyFill="1"/>
    <xf numFmtId="164" fontId="0" fillId="0" borderId="0" xfId="0" applyNumberFormat="1"/>
    <xf numFmtId="0" fontId="5" fillId="0" borderId="0" xfId="0" applyFont="1"/>
    <xf numFmtId="164" fontId="6" fillId="0" borderId="1" xfId="0" applyNumberFormat="1" applyFont="1" applyBorder="1"/>
    <xf numFmtId="9" fontId="6" fillId="4" borderId="0" xfId="0" applyNumberFormat="1" applyFont="1" applyFill="1"/>
    <xf numFmtId="164" fontId="5" fillId="5" borderId="1" xfId="0" applyNumberFormat="1" applyFont="1" applyFill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0" borderId="0" xfId="0" applyFont="1"/>
    <xf numFmtId="0" fontId="9" fillId="6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64" fontId="8" fillId="4" borderId="0" xfId="0" applyNumberFormat="1" applyFont="1" applyFill="1"/>
    <xf numFmtId="0" fontId="8" fillId="4" borderId="0" xfId="0" applyFont="1" applyFill="1"/>
    <xf numFmtId="164" fontId="8" fillId="0" borderId="0" xfId="0" applyNumberFormat="1" applyFont="1"/>
    <xf numFmtId="164" fontId="5" fillId="5" borderId="1" xfId="0" applyNumberFormat="1" applyFont="1" applyFill="1" applyBorder="1"/>
    <xf numFmtId="165" fontId="5" fillId="5" borderId="1" xfId="0" applyNumberFormat="1" applyFont="1" applyFill="1" applyBorder="1"/>
    <xf numFmtId="165" fontId="5" fillId="5" borderId="2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3FA8-F60F-6446-8F6A-A7075FAF516D}">
  <dimension ref="A2:F46"/>
  <sheetViews>
    <sheetView tabSelected="1" zoomScale="106" zoomScaleNormal="130" workbookViewId="0">
      <selection activeCell="B15" sqref="B15"/>
    </sheetView>
  </sheetViews>
  <sheetFormatPr baseColWidth="10" defaultRowHeight="16" x14ac:dyDescent="0.2"/>
  <cols>
    <col min="1" max="1" width="5.33203125" customWidth="1"/>
    <col min="2" max="2" width="37" bestFit="1" customWidth="1"/>
    <col min="3" max="3" width="23.1640625" bestFit="1" customWidth="1"/>
    <col min="4" max="4" width="22.1640625" bestFit="1" customWidth="1"/>
    <col min="5" max="5" width="22.1640625" customWidth="1"/>
    <col min="6" max="6" width="73" customWidth="1"/>
  </cols>
  <sheetData>
    <row r="2" spans="1:6" ht="19" x14ac:dyDescent="0.25">
      <c r="A2" s="1"/>
      <c r="B2" s="2" t="s">
        <v>0</v>
      </c>
      <c r="C2" s="2"/>
      <c r="D2" s="2"/>
      <c r="E2" s="2"/>
      <c r="F2" s="2"/>
    </row>
    <row r="3" spans="1:6" ht="13" customHeight="1" x14ac:dyDescent="0.25">
      <c r="A3" s="1"/>
      <c r="B3" s="3"/>
      <c r="C3" s="3"/>
      <c r="D3" s="3"/>
      <c r="E3" s="3"/>
      <c r="F3" s="3"/>
    </row>
    <row r="4" spans="1:6" ht="18" customHeight="1" x14ac:dyDescent="0.2">
      <c r="A4" s="1"/>
      <c r="B4" s="1" t="s">
        <v>1</v>
      </c>
      <c r="C4" s="4">
        <v>2026</v>
      </c>
      <c r="D4" s="5">
        <v>2027</v>
      </c>
      <c r="E4" s="5">
        <v>2028</v>
      </c>
      <c r="F4" s="5" t="s">
        <v>2</v>
      </c>
    </row>
    <row r="5" spans="1:6" ht="18" customHeight="1" x14ac:dyDescent="0.2">
      <c r="A5" s="1"/>
      <c r="B5" t="s">
        <v>3</v>
      </c>
      <c r="C5" s="6">
        <v>389</v>
      </c>
      <c r="D5" s="6">
        <f>C5*1.1</f>
        <v>427.90000000000003</v>
      </c>
      <c r="E5" s="6">
        <f>D5*1.1</f>
        <v>470.69000000000005</v>
      </c>
      <c r="F5" t="s">
        <v>4</v>
      </c>
    </row>
    <row r="6" spans="1:6" ht="18" customHeight="1" x14ac:dyDescent="0.2">
      <c r="A6" s="1"/>
      <c r="B6" t="s">
        <v>5</v>
      </c>
      <c r="C6" s="7">
        <f>586000/744</f>
        <v>787.63440860215053</v>
      </c>
      <c r="D6" s="7">
        <f>C6*1.05</f>
        <v>827.01612903225805</v>
      </c>
      <c r="E6" s="7">
        <f>D6*1.05</f>
        <v>868.36693548387098</v>
      </c>
      <c r="F6" t="s">
        <v>6</v>
      </c>
    </row>
    <row r="7" spans="1:6" ht="18" customHeight="1" x14ac:dyDescent="0.25">
      <c r="A7" s="1"/>
      <c r="B7" t="s">
        <v>7</v>
      </c>
      <c r="C7" s="8">
        <v>67</v>
      </c>
      <c r="D7" s="6">
        <f>C7*1.1</f>
        <v>73.7</v>
      </c>
      <c r="E7" s="6">
        <f>D7*1.1</f>
        <v>81.070000000000007</v>
      </c>
      <c r="F7" s="3"/>
    </row>
    <row r="8" spans="1:6" ht="18" customHeight="1" x14ac:dyDescent="0.25">
      <c r="A8" s="1"/>
      <c r="B8" t="s">
        <v>8</v>
      </c>
      <c r="C8" s="7">
        <f>353000/11000</f>
        <v>32.090909090909093</v>
      </c>
      <c r="D8" s="7">
        <f>C8*1.05</f>
        <v>33.695454545454552</v>
      </c>
      <c r="E8" s="7">
        <f>D8*1.05</f>
        <v>35.380227272727282</v>
      </c>
      <c r="F8" s="3"/>
    </row>
    <row r="9" spans="1:6" ht="18" customHeight="1" x14ac:dyDescent="0.25">
      <c r="A9" s="1"/>
      <c r="B9" t="s">
        <v>9</v>
      </c>
      <c r="C9" s="8">
        <v>50</v>
      </c>
      <c r="D9" s="6">
        <f>C9*1.1</f>
        <v>55.000000000000007</v>
      </c>
      <c r="E9" s="6">
        <f>D9*1.1</f>
        <v>60.500000000000014</v>
      </c>
      <c r="F9" s="3"/>
    </row>
    <row r="10" spans="1:6" ht="18" customHeight="1" x14ac:dyDescent="0.25">
      <c r="A10" s="1"/>
      <c r="B10" t="s">
        <v>10</v>
      </c>
      <c r="C10" s="7">
        <f>650000/1400</f>
        <v>464.28571428571428</v>
      </c>
      <c r="D10" s="7">
        <f>C10*1.05</f>
        <v>487.5</v>
      </c>
      <c r="E10" s="7">
        <f>D10*1.05</f>
        <v>511.875</v>
      </c>
      <c r="F10" s="3"/>
    </row>
    <row r="11" spans="1:6" ht="18" customHeight="1" x14ac:dyDescent="0.25">
      <c r="A11" s="1"/>
      <c r="B11" t="s">
        <v>11</v>
      </c>
      <c r="C11" s="6">
        <v>36</v>
      </c>
      <c r="D11" s="6">
        <f>C11*1.1</f>
        <v>39.6</v>
      </c>
      <c r="E11" s="6">
        <f>D11*1.1</f>
        <v>43.56</v>
      </c>
      <c r="F11" s="3"/>
    </row>
    <row r="12" spans="1:6" ht="18" customHeight="1" x14ac:dyDescent="0.25">
      <c r="A12" s="1"/>
      <c r="B12" t="s">
        <v>12</v>
      </c>
      <c r="C12" s="7">
        <f>1530000/124</f>
        <v>12338.709677419354</v>
      </c>
      <c r="D12" s="7">
        <f>C12*1.05</f>
        <v>12955.645161290322</v>
      </c>
      <c r="E12" s="7">
        <f>D12*1.05</f>
        <v>13603.427419354839</v>
      </c>
      <c r="F12" s="3"/>
    </row>
    <row r="13" spans="1:6" ht="18" customHeight="1" x14ac:dyDescent="0.25">
      <c r="A13" s="1"/>
      <c r="B13" t="s">
        <v>13</v>
      </c>
      <c r="C13" s="9">
        <f>(C5*C6)+(C7*C8)+(C9*C10)+(C11*C12)</f>
        <v>775947.70995670999</v>
      </c>
      <c r="D13" s="9">
        <f t="shared" ref="D13" si="0">(D5*D6)+(D7*D8)+(D9*D10)+(D11*D12)</f>
        <v>896219.60499999998</v>
      </c>
      <c r="E13" s="9">
        <f>(E5*E6)+(E7*E8)+(E9*E10)+(E11*E12)</f>
        <v>1035133.6437750001</v>
      </c>
      <c r="F13" s="3"/>
    </row>
    <row r="14" spans="1:6" ht="18" customHeight="1" x14ac:dyDescent="0.2">
      <c r="A14" s="1"/>
      <c r="F14" s="5"/>
    </row>
    <row r="15" spans="1:6" ht="18" customHeight="1" x14ac:dyDescent="0.2">
      <c r="A15" s="1"/>
      <c r="B15" s="1" t="s">
        <v>14</v>
      </c>
      <c r="C15" s="4">
        <v>2026</v>
      </c>
      <c r="D15" s="5">
        <v>2027</v>
      </c>
      <c r="E15" s="5">
        <v>2028</v>
      </c>
      <c r="F15" s="5" t="s">
        <v>2</v>
      </c>
    </row>
    <row r="16" spans="1:6" ht="18" customHeight="1" x14ac:dyDescent="0.2">
      <c r="A16" s="1"/>
      <c r="B16" t="s">
        <v>3</v>
      </c>
      <c r="C16" s="6">
        <f>MROUND(C5*0.2,1)</f>
        <v>78</v>
      </c>
      <c r="D16" s="6">
        <f t="shared" ref="D16:E16" si="1">MROUND(D5*0.2,1)</f>
        <v>86</v>
      </c>
      <c r="E16" s="6">
        <f t="shared" si="1"/>
        <v>94</v>
      </c>
      <c r="F16" t="s">
        <v>15</v>
      </c>
    </row>
    <row r="17" spans="1:6" ht="18" customHeight="1" x14ac:dyDescent="0.2">
      <c r="A17" s="1"/>
      <c r="B17" t="s">
        <v>5</v>
      </c>
      <c r="C17" s="7">
        <f>C6</f>
        <v>787.63440860215053</v>
      </c>
      <c r="D17" s="7">
        <f t="shared" ref="D17:E17" si="2">D6</f>
        <v>827.01612903225805</v>
      </c>
      <c r="E17" s="7">
        <f t="shared" si="2"/>
        <v>868.36693548387098</v>
      </c>
    </row>
    <row r="18" spans="1:6" ht="18" customHeight="1" x14ac:dyDescent="0.2">
      <c r="A18" s="1"/>
      <c r="B18" t="s">
        <v>7</v>
      </c>
      <c r="C18" s="6">
        <f>MROUND(C7*0.2,1)</f>
        <v>13</v>
      </c>
      <c r="D18" s="6">
        <f t="shared" ref="D18:E18" si="3">MROUND(D7*0.2,1)</f>
        <v>15</v>
      </c>
      <c r="E18" s="6">
        <f t="shared" si="3"/>
        <v>16</v>
      </c>
      <c r="F18" t="s">
        <v>15</v>
      </c>
    </row>
    <row r="19" spans="1:6" ht="18" customHeight="1" x14ac:dyDescent="0.25">
      <c r="A19" s="1"/>
      <c r="B19" t="s">
        <v>8</v>
      </c>
      <c r="C19" s="7">
        <f>C8</f>
        <v>32.090909090909093</v>
      </c>
      <c r="D19" s="7">
        <f t="shared" ref="D19:E19" si="4">D8</f>
        <v>33.695454545454552</v>
      </c>
      <c r="E19" s="7">
        <f t="shared" si="4"/>
        <v>35.380227272727282</v>
      </c>
      <c r="F19" s="3"/>
    </row>
    <row r="20" spans="1:6" ht="18" customHeight="1" x14ac:dyDescent="0.2">
      <c r="A20" s="1"/>
      <c r="B20" t="s">
        <v>9</v>
      </c>
      <c r="C20" s="6">
        <f>MROUND(C9*0.67,1)</f>
        <v>34</v>
      </c>
      <c r="D20" s="6">
        <f t="shared" ref="D20:E20" si="5">MROUND(D9*0.67,1)</f>
        <v>37</v>
      </c>
      <c r="E20" s="6">
        <f t="shared" si="5"/>
        <v>41</v>
      </c>
      <c r="F20" t="s">
        <v>16</v>
      </c>
    </row>
    <row r="21" spans="1:6" ht="18" customHeight="1" x14ac:dyDescent="0.25">
      <c r="A21" s="1"/>
      <c r="B21" t="s">
        <v>10</v>
      </c>
      <c r="C21" s="7">
        <f>C10</f>
        <v>464.28571428571428</v>
      </c>
      <c r="D21" s="7">
        <f t="shared" ref="D21:E21" si="6">D10</f>
        <v>487.5</v>
      </c>
      <c r="E21" s="7">
        <f t="shared" si="6"/>
        <v>511.875</v>
      </c>
      <c r="F21" s="3"/>
    </row>
    <row r="22" spans="1:6" ht="18" customHeight="1" x14ac:dyDescent="0.2">
      <c r="A22" s="1"/>
      <c r="B22" t="s">
        <v>11</v>
      </c>
      <c r="C22" s="6">
        <f>MROUND(C11*0.2,1)</f>
        <v>7</v>
      </c>
      <c r="D22" s="6">
        <f t="shared" ref="D22:E22" si="7">MROUND(D11*0.2,1)</f>
        <v>8</v>
      </c>
      <c r="E22" s="6">
        <f t="shared" si="7"/>
        <v>9</v>
      </c>
      <c r="F22" t="s">
        <v>15</v>
      </c>
    </row>
    <row r="23" spans="1:6" ht="18" customHeight="1" x14ac:dyDescent="0.25">
      <c r="A23" s="1"/>
      <c r="B23" t="s">
        <v>12</v>
      </c>
      <c r="C23" s="7">
        <f>C12</f>
        <v>12338.709677419354</v>
      </c>
      <c r="D23" s="7">
        <f t="shared" ref="D23:E23" si="8">D12</f>
        <v>12955.645161290322</v>
      </c>
      <c r="E23" s="7">
        <f t="shared" si="8"/>
        <v>13603.427419354839</v>
      </c>
      <c r="F23" s="3"/>
    </row>
    <row r="24" spans="1:6" ht="18" customHeight="1" x14ac:dyDescent="0.25">
      <c r="A24" s="1"/>
      <c r="B24" t="s">
        <v>13</v>
      </c>
      <c r="C24" s="9">
        <f>(C16*C17)+(C18*C19)+(C20*C21)+(C22*C23)</f>
        <v>164009.34771679933</v>
      </c>
      <c r="D24" s="9">
        <f t="shared" ref="D24:E24" si="9">(D16*D17)+(D18*D19)+(D20*D21)+(D22*D23)</f>
        <v>193311.48020527861</v>
      </c>
      <c r="E24" s="9">
        <f t="shared" si="9"/>
        <v>225610.29734604107</v>
      </c>
      <c r="F24" s="3"/>
    </row>
    <row r="25" spans="1:6" ht="18" customHeight="1" x14ac:dyDescent="0.25">
      <c r="A25" s="1"/>
      <c r="F25" s="3"/>
    </row>
    <row r="26" spans="1:6" ht="18" customHeight="1" x14ac:dyDescent="0.25">
      <c r="A26" s="1"/>
      <c r="B26" s="10" t="s">
        <v>17</v>
      </c>
      <c r="C26" s="11">
        <f>C13-C24</f>
        <v>611938.36223991064</v>
      </c>
      <c r="D26" s="11">
        <f t="shared" ref="D26:E26" si="10">D13-D24</f>
        <v>702908.12479472137</v>
      </c>
      <c r="E26" s="11">
        <f t="shared" si="10"/>
        <v>809523.34642895905</v>
      </c>
      <c r="F26" s="3"/>
    </row>
    <row r="27" spans="1:6" ht="18" customHeight="1" x14ac:dyDescent="0.25">
      <c r="A27" s="1"/>
      <c r="B27" s="10" t="s">
        <v>18</v>
      </c>
      <c r="C27" s="12">
        <v>0.5</v>
      </c>
      <c r="D27" s="12">
        <v>1</v>
      </c>
      <c r="E27" s="12">
        <v>1</v>
      </c>
      <c r="F27" s="3"/>
    </row>
    <row r="28" spans="1:6" ht="18" customHeight="1" x14ac:dyDescent="0.25">
      <c r="B28" s="10" t="s">
        <v>19</v>
      </c>
      <c r="C28" s="13">
        <f>C26*C27</f>
        <v>305969.18111995532</v>
      </c>
      <c r="D28" s="13">
        <f t="shared" ref="D28:E28" si="11">D26*D27</f>
        <v>702908.12479472137</v>
      </c>
      <c r="E28" s="13">
        <f t="shared" si="11"/>
        <v>809523.34642895905</v>
      </c>
      <c r="F28" s="14">
        <f>SUM(C28:E28)</f>
        <v>1818400.6523436359</v>
      </c>
    </row>
    <row r="29" spans="1:6" ht="18" customHeight="1" x14ac:dyDescent="0.25">
      <c r="F29" s="14"/>
    </row>
    <row r="30" spans="1:6" ht="19" x14ac:dyDescent="0.25">
      <c r="A30" s="15"/>
      <c r="B30" s="16" t="s">
        <v>20</v>
      </c>
      <c r="C30" s="16"/>
      <c r="D30" s="16"/>
      <c r="E30" s="16"/>
      <c r="F30" s="16"/>
    </row>
    <row r="31" spans="1:6" x14ac:dyDescent="0.2">
      <c r="A31" s="15"/>
      <c r="B31" s="15"/>
      <c r="C31" s="15"/>
      <c r="D31" s="15"/>
      <c r="E31" s="15"/>
      <c r="F31" s="15"/>
    </row>
    <row r="32" spans="1:6" x14ac:dyDescent="0.2">
      <c r="A32" s="15"/>
      <c r="B32" s="10" t="s">
        <v>21</v>
      </c>
      <c r="C32" s="17">
        <v>2026</v>
      </c>
      <c r="D32" s="17">
        <v>2027</v>
      </c>
      <c r="E32" s="17">
        <v>2028</v>
      </c>
      <c r="F32" s="17" t="s">
        <v>2</v>
      </c>
    </row>
    <row r="33" spans="1:6" x14ac:dyDescent="0.2">
      <c r="A33" s="15"/>
      <c r="B33" s="15" t="s">
        <v>22</v>
      </c>
      <c r="C33" s="18">
        <v>210</v>
      </c>
      <c r="D33" s="18">
        <v>210</v>
      </c>
      <c r="E33" s="18">
        <v>210</v>
      </c>
      <c r="F33" s="15"/>
    </row>
    <row r="34" spans="1:6" x14ac:dyDescent="0.2">
      <c r="A34" s="15"/>
      <c r="B34" s="15" t="s">
        <v>23</v>
      </c>
      <c r="C34" s="19">
        <v>40</v>
      </c>
      <c r="D34" s="19">
        <v>0</v>
      </c>
      <c r="E34" s="19">
        <v>0</v>
      </c>
      <c r="F34" s="15"/>
    </row>
    <row r="35" spans="1:6" x14ac:dyDescent="0.2">
      <c r="A35" s="15"/>
      <c r="B35" s="15" t="s">
        <v>24</v>
      </c>
      <c r="C35" s="19">
        <v>40</v>
      </c>
      <c r="D35" s="19">
        <v>0</v>
      </c>
      <c r="E35" s="19">
        <v>0</v>
      </c>
      <c r="F35" s="15"/>
    </row>
    <row r="36" spans="1:6" x14ac:dyDescent="0.2">
      <c r="A36" s="15"/>
      <c r="B36" s="15" t="s">
        <v>25</v>
      </c>
      <c r="C36" s="19">
        <v>40</v>
      </c>
      <c r="D36" s="19">
        <v>20</v>
      </c>
      <c r="E36" s="19">
        <v>10</v>
      </c>
      <c r="F36" s="15"/>
    </row>
    <row r="37" spans="1:6" x14ac:dyDescent="0.2">
      <c r="A37" s="15"/>
      <c r="B37" s="15" t="s">
        <v>26</v>
      </c>
      <c r="C37" s="19">
        <v>40</v>
      </c>
      <c r="D37" s="19">
        <v>20</v>
      </c>
      <c r="E37" s="19">
        <v>10</v>
      </c>
      <c r="F37" s="15"/>
    </row>
    <row r="38" spans="1:6" x14ac:dyDescent="0.2">
      <c r="A38" s="15"/>
      <c r="B38" s="15" t="s">
        <v>27</v>
      </c>
      <c r="C38" s="15">
        <f>SUM(C34:C37)</f>
        <v>160</v>
      </c>
      <c r="D38" s="15">
        <f t="shared" ref="D38:E38" si="12">SUM(D34:D37)</f>
        <v>40</v>
      </c>
      <c r="E38" s="15">
        <f t="shared" si="12"/>
        <v>20</v>
      </c>
      <c r="F38" s="15"/>
    </row>
    <row r="39" spans="1:6" x14ac:dyDescent="0.2">
      <c r="A39" s="15"/>
      <c r="B39" s="15" t="s">
        <v>28</v>
      </c>
      <c r="C39" s="20">
        <v>35000</v>
      </c>
      <c r="D39" s="20">
        <v>10000</v>
      </c>
      <c r="E39" s="20">
        <v>10000</v>
      </c>
      <c r="F39" s="15" t="s">
        <v>29</v>
      </c>
    </row>
    <row r="40" spans="1:6" x14ac:dyDescent="0.2">
      <c r="A40" s="15"/>
      <c r="B40" s="15"/>
      <c r="C40" s="20"/>
      <c r="D40" s="20"/>
      <c r="E40" s="20"/>
      <c r="F40" s="15"/>
    </row>
    <row r="41" spans="1:6" ht="19" x14ac:dyDescent="0.25">
      <c r="A41" s="15"/>
      <c r="B41" s="10" t="s">
        <v>30</v>
      </c>
      <c r="C41" s="21">
        <f>C39+(C38*C33)</f>
        <v>68600</v>
      </c>
      <c r="D41" s="21">
        <f>D39+(D38*D33)</f>
        <v>18400</v>
      </c>
      <c r="E41" s="21">
        <f t="shared" ref="E41:F41" si="13">E39+(E38*E33)</f>
        <v>14200</v>
      </c>
      <c r="F41" s="14">
        <f>SUM(C41:E41)</f>
        <v>101200</v>
      </c>
    </row>
    <row r="42" spans="1:6" ht="18" customHeight="1" x14ac:dyDescent="0.2">
      <c r="A42" s="15"/>
      <c r="B42" s="15"/>
      <c r="C42" s="15"/>
      <c r="D42" s="15"/>
      <c r="E42" s="15"/>
      <c r="F42" s="15"/>
    </row>
    <row r="43" spans="1:6" ht="18" customHeight="1" x14ac:dyDescent="0.25">
      <c r="A43" s="15"/>
      <c r="B43" s="16" t="s">
        <v>31</v>
      </c>
      <c r="C43" s="16"/>
      <c r="D43" s="16"/>
      <c r="E43" s="16"/>
      <c r="F43" s="16"/>
    </row>
    <row r="44" spans="1:6" ht="18" customHeight="1" x14ac:dyDescent="0.2">
      <c r="A44" s="15"/>
      <c r="B44" s="15"/>
      <c r="C44" s="15"/>
      <c r="D44" s="15"/>
      <c r="E44" s="15"/>
      <c r="F44" s="15"/>
    </row>
    <row r="45" spans="1:6" ht="18" customHeight="1" x14ac:dyDescent="0.2">
      <c r="A45" s="15"/>
      <c r="B45" s="15" t="s">
        <v>32</v>
      </c>
      <c r="C45" s="22">
        <f>(C28-C41)/C28</f>
        <v>0.77579441253233494</v>
      </c>
      <c r="D45" s="15" t="s">
        <v>33</v>
      </c>
      <c r="E45" s="15"/>
      <c r="F45" s="15"/>
    </row>
    <row r="46" spans="1:6" x14ac:dyDescent="0.2">
      <c r="A46" s="15"/>
      <c r="B46" s="15" t="s">
        <v>34</v>
      </c>
      <c r="C46" s="23">
        <f>(F28-F41)/F41</f>
        <v>16.968385892723674</v>
      </c>
      <c r="D46" s="15" t="s">
        <v>33</v>
      </c>
      <c r="E46" s="15"/>
      <c r="F46" s="15"/>
    </row>
  </sheetData>
  <mergeCells count="3">
    <mergeCell ref="B2:F2"/>
    <mergeCell ref="B30:F30"/>
    <mergeCell ref="B43:F4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Licensing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Hao</dc:creator>
  <cp:lastModifiedBy>Amy Hao</cp:lastModifiedBy>
  <dcterms:created xsi:type="dcterms:W3CDTF">2025-12-30T21:07:42Z</dcterms:created>
  <dcterms:modified xsi:type="dcterms:W3CDTF">2025-12-30T21:08:18Z</dcterms:modified>
</cp:coreProperties>
</file>