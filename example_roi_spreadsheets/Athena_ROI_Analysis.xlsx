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Zap-Level ROI" sheetId="2" state="visible" r:id="rId4"/>
    <sheet name="Disruption Cost" sheetId="3" state="visible" r:id="rId5"/>
    <sheet name="Governance Risk" sheetId="4" state="visible" r:id="rId6"/>
    <sheet name="Executiv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<sst xmlns="http://schemas.openxmlformats.org/spreadsheetml/2006/main" count="270" uniqueCount="239">
  <si>
    <t xml:space="preserve">ATHENA - ROI ANALYSIS ASSUMPTIONS</t>
  </si>
  <si>
    <t xml:space="preserve">All blue values are adjustable inputs. Yellow cells require validation with customer.</t>
  </si>
  <si>
    <t xml:space="preserve">LABOR COST ASSUMPTIONS</t>
  </si>
  <si>
    <t xml:space="preserve">VA Hourly Rate (Philippines-based XP)</t>
  </si>
  <si>
    <t xml:space="preserve">$/hour</t>
  </si>
  <si>
    <t xml:space="preserve">Fully loaded cost for Executive Partners</t>
  </si>
  <si>
    <t xml:space="preserve">Operations Staff Hourly Rate</t>
  </si>
  <si>
    <t xml:space="preserve">US-based ops/IT staff for escalations</t>
  </si>
  <si>
    <t xml:space="preserve">Engineering/IT Hourly Rate</t>
  </si>
  <si>
    <t xml:space="preserve">For incident response and remediation</t>
  </si>
  <si>
    <t xml:space="preserve">Working Hours per Month</t>
  </si>
  <si>
    <t xml:space="preserve">hours</t>
  </si>
  <si>
    <t xml:space="preserve">Standard month</t>
  </si>
  <si>
    <t xml:space="preserve">TASK PROCESSING ASSUMPTIONS</t>
  </si>
  <si>
    <t xml:space="preserve">Minutes per Simple Task (data sync)</t>
  </si>
  <si>
    <t xml:space="preserve">minutes</t>
  </si>
  <si>
    <t xml:space="preserve">Basic lookups, data transfers</t>
  </si>
  <si>
    <t xml:space="preserve">Minutes per Medium Task (multi-step)</t>
  </si>
  <si>
    <t xml:space="preserve">Conditional logic, multiple systems</t>
  </si>
  <si>
    <t xml:space="preserve">Minutes per Complex Task (ELA/DocuSign)</t>
  </si>
  <si>
    <t xml:space="preserve">Document processing, approvals</t>
  </si>
  <si>
    <t xml:space="preserve">Automation Efficiency Factor</t>
  </si>
  <si>
    <t xml:space="preserve">ratio</t>
  </si>
  <si>
    <t xml:space="preserve">Not all tasks would be done manually - some would be skipped</t>
  </si>
  <si>
    <t xml:space="preserve">DISRUPTION COST ASSUMPTIONS</t>
  </si>
  <si>
    <t xml:space="preserve">Average Deal Value (ELA)</t>
  </si>
  <si>
    <t xml:space="preserve">$</t>
  </si>
  <si>
    <t xml:space="preserve">Average contract value for Executive Leadership Agreements</t>
  </si>
  <si>
    <t xml:space="preserve">Deal Velocity Impact (days delayed)</t>
  </si>
  <si>
    <t xml:space="preserve">days</t>
  </si>
  <si>
    <t xml:space="preserve">Avg delay when sales pipeline Zap goes down</t>
  </si>
  <si>
    <t xml:space="preserve">Deals in Pipeline at Any Time</t>
  </si>
  <si>
    <t xml:space="preserve">deals</t>
  </si>
  <si>
    <t xml:space="preserve">Active deals that could be affected</t>
  </si>
  <si>
    <t xml:space="preserve">% Deals at Risk from Delay</t>
  </si>
  <si>
    <t xml:space="preserve">Conservative - deals lost due to delay</t>
  </si>
  <si>
    <t xml:space="preserve">Support Ticket Cost (per incident)</t>
  </si>
  <si>
    <t xml:space="preserve">Internal cost to handle automation failure ticket</t>
  </si>
  <si>
    <t xml:space="preserve">Avg Tickets per Outage Day</t>
  </si>
  <si>
    <t xml:space="preserve">tickets</t>
  </si>
  <si>
    <t xml:space="preserve">Based on VA volume and dependency</t>
  </si>
  <si>
    <t xml:space="preserve">Total Monthly Tasks (from Zap data)</t>
  </si>
  <si>
    <t xml:space="preserve">tasks</t>
  </si>
  <si>
    <t xml:space="preserve">Sum of top Zaps - update from Zap-Level ROI</t>
  </si>
  <si>
    <t xml:space="preserve">GOVERNANCE &amp; SECURITY RISK ASSUMPTIONS</t>
  </si>
  <si>
    <t xml:space="preserve">Cost of Data Breach (avg)</t>
  </si>
  <si>
    <t xml:space="preserve">SMB data breach avg cost - conservative for their size</t>
  </si>
  <si>
    <t xml:space="preserve">Annual Probability of Breach (ungoverned)</t>
  </si>
  <si>
    <t xml:space="preserve">8% annual probability without SSO/SCIM controls</t>
  </si>
  <si>
    <t xml:space="preserve">Annual Probability of Breach (governed)</t>
  </si>
  <si>
    <t xml:space="preserve">2% with Enterprise controls</t>
  </si>
  <si>
    <t xml:space="preserve">Shadow IT Accounts</t>
  </si>
  <si>
    <t xml:space="preserve">accounts</t>
  </si>
  <si>
    <t xml:space="preserve">Free accounts in past 90 days from dossier</t>
  </si>
  <si>
    <t xml:space="preserve">Compliance Audit Cost (per incident)</t>
  </si>
  <si>
    <t xml:space="preserve">External audit if governance gap discovered</t>
  </si>
  <si>
    <t xml:space="preserve">Annual Probability of Audit Issue</t>
  </si>
  <si>
    <t xml:space="preserve">Given current 40+ users on 25-seat cap</t>
  </si>
  <si>
    <t xml:space="preserve">CELL REFERENCE GUIDE (for other sheets)</t>
  </si>
  <si>
    <t xml:space="preserve">VA Hourly Rate</t>
  </si>
  <si>
    <t xml:space="preserve">B5</t>
  </si>
  <si>
    <t xml:space="preserve">Ops Staff Rate</t>
  </si>
  <si>
    <t xml:space="preserve">B6</t>
  </si>
  <si>
    <t xml:space="preserve">Engineering Rate</t>
  </si>
  <si>
    <t xml:space="preserve">B7</t>
  </si>
  <si>
    <t xml:space="preserve">Simple Task Minutes</t>
  </si>
  <si>
    <t xml:space="preserve">B10</t>
  </si>
  <si>
    <t xml:space="preserve">Medium Task Minutes</t>
  </si>
  <si>
    <t xml:space="preserve">B11</t>
  </si>
  <si>
    <t xml:space="preserve">Complex Task Minutes</t>
  </si>
  <si>
    <t xml:space="preserve">B12</t>
  </si>
  <si>
    <t xml:space="preserve">Efficiency Factor</t>
  </si>
  <si>
    <t xml:space="preserve">B13</t>
  </si>
  <si>
    <t xml:space="preserve">Avg Deal Value</t>
  </si>
  <si>
    <t xml:space="preserve">B16</t>
  </si>
  <si>
    <t xml:space="preserve">Deal Delay Days</t>
  </si>
  <si>
    <t xml:space="preserve">B17</t>
  </si>
  <si>
    <t xml:space="preserve">Deals in Pipeline</t>
  </si>
  <si>
    <t xml:space="preserve">B18</t>
  </si>
  <si>
    <t xml:space="preserve">% Deals at Risk</t>
  </si>
  <si>
    <t xml:space="preserve">B19</t>
  </si>
  <si>
    <t xml:space="preserve">Ticket Cost</t>
  </si>
  <si>
    <t xml:space="preserve">B20</t>
  </si>
  <si>
    <t xml:space="preserve">Tickets per Outage Day</t>
  </si>
  <si>
    <t xml:space="preserve">B21</t>
  </si>
  <si>
    <t xml:space="preserve">Total Monthly Tasks</t>
  </si>
  <si>
    <t xml:space="preserve">B22</t>
  </si>
  <si>
    <t xml:space="preserve">Breach Cost</t>
  </si>
  <si>
    <t xml:space="preserve">B25</t>
  </si>
  <si>
    <t xml:space="preserve">Breach Prob (ungoverned)</t>
  </si>
  <si>
    <t xml:space="preserve">B26</t>
  </si>
  <si>
    <t xml:space="preserve">Breach Prob (governed)</t>
  </si>
  <si>
    <t xml:space="preserve">B27</t>
  </si>
  <si>
    <t xml:space="preserve">ZAP-LEVEL AUTOMATION VALUE</t>
  </si>
  <si>
    <t xml:space="preserve">Quantifies time savings value for each major Zap based on task volume and complexity</t>
  </si>
  <si>
    <t xml:space="preserve">Zap Name</t>
  </si>
  <si>
    <t xml:space="preserve">Use Case</t>
  </si>
  <si>
    <t xml:space="preserve">Owner</t>
  </si>
  <si>
    <t xml:space="preserve">Tasks/Month</t>
  </si>
  <si>
    <t xml:space="preserve">Complexity</t>
  </si>
  <si>
    <t xml:space="preserve">Min/Task</t>
  </si>
  <si>
    <t xml:space="preserve">Hours Saved/Mo</t>
  </si>
  <si>
    <t xml:space="preserve">Hourly Rate</t>
  </si>
  <si>
    <t xml:space="preserve">Monthly Value</t>
  </si>
  <si>
    <t xml:space="preserve">Annual Value</t>
  </si>
  <si>
    <t xml:space="preserve">Notes</t>
  </si>
  <si>
    <t xml:space="preserve">(LIVE) Catch Signed ELA - Part 3</t>
  </si>
  <si>
    <t xml:space="preserve">Sales Pipeline</t>
  </si>
  <si>
    <t xml:space="preserve">julian.sanchez@athena.com</t>
  </si>
  <si>
    <t xml:space="preserve">Complex</t>
  </si>
  <si>
    <t xml:space="preserve">63% of all tasks - ELA processing</t>
  </si>
  <si>
    <t xml:space="preserve">(LIVE) Catch Zoom recordings → HubSpot</t>
  </si>
  <si>
    <t xml:space="preserve">Data Management</t>
  </si>
  <si>
    <t xml:space="preserve">Medium</t>
  </si>
  <si>
    <t xml:space="preserve">Customer intelligence capture</t>
  </si>
  <si>
    <t xml:space="preserve">(STG) Catch Zoom recordings → HubSpot</t>
  </si>
  <si>
    <t xml:space="preserve">Staging environment</t>
  </si>
  <si>
    <t xml:space="preserve">Calendly &lt;&gt; HubSpot - 2WFC Details</t>
  </si>
  <si>
    <t xml:space="preserve">Lead Management</t>
  </si>
  <si>
    <t xml:space="preserve">den.planas@athena.com</t>
  </si>
  <si>
    <t xml:space="preserve">Simple</t>
  </si>
  <si>
    <t xml:space="preserve">Lead data sync</t>
  </si>
  <si>
    <t xml:space="preserve">Trial - Gender Zap V2</t>
  </si>
  <si>
    <t xml:space="preserve">Lead enrichment</t>
  </si>
  <si>
    <t xml:space="preserve">Meta CAPI - Demand</t>
  </si>
  <si>
    <t xml:space="preserve">adam.crabbe@athena.com</t>
  </si>
  <si>
    <t xml:space="preserve">Ad attribution</t>
  </si>
  <si>
    <t xml:space="preserve">OpenAI Assistant - Prod</t>
  </si>
  <si>
    <t xml:space="preserve">Customer Support</t>
  </si>
  <si>
    <t xml:space="preserve">jimmy.giraldo@athena.com</t>
  </si>
  <si>
    <t xml:space="preserve">AI-powered support</t>
  </si>
  <si>
    <t xml:space="preserve">OpenAI Assistant - Result Receiver</t>
  </si>
  <si>
    <t xml:space="preserve">Support response handling</t>
  </si>
  <si>
    <t xml:space="preserve">Handle General DocuSign - Master</t>
  </si>
  <si>
    <t xml:space="preserve">cristhian@athena.com</t>
  </si>
  <si>
    <t xml:space="preserve">Contract automation</t>
  </si>
  <si>
    <t xml:space="preserve">Scheduling Zap</t>
  </si>
  <si>
    <t xml:space="preserve">Operations</t>
  </si>
  <si>
    <t xml:space="preserve">stella.maingi@athena.com</t>
  </si>
  <si>
    <t xml:space="preserve">Calendar management</t>
  </si>
  <si>
    <t xml:space="preserve">TOTAL</t>
  </si>
  <si>
    <t xml:space="preserve">DISRUPTION COST ANALYSIS</t>
  </si>
  <si>
    <t xml:space="preserve">Quantifies the cost of service disruptions from billing failures and task overages</t>
  </si>
  <si>
    <t xml:space="preserve">KNOWN SERVICE DISRUPTIONS (2025)</t>
  </si>
  <si>
    <t xml:space="preserve">Outage Event</t>
  </si>
  <si>
    <t xml:space="preserve">Date</t>
  </si>
  <si>
    <t xml:space="preserve">Duration (days)</t>
  </si>
  <si>
    <t xml:space="preserve">Root Cause</t>
  </si>
  <si>
    <t xml:space="preserve">Tasks Not Processed</t>
  </si>
  <si>
    <t xml:space="preserve">Manual Workaround Cost</t>
  </si>
  <si>
    <t xml:space="preserve">Revenue at Risk</t>
  </si>
  <si>
    <t xml:space="preserve">Total Impact</t>
  </si>
  <si>
    <t xml:space="preserve">March 2025 - Task Overage</t>
  </si>
  <si>
    <t xml:space="preserve">2025-03-26</t>
  </si>
  <si>
    <t xml:space="preserve">Hit 213% of 100k limit</t>
  </si>
  <si>
    <t xml:space="preserve">October 2025 - Billing Failure</t>
  </si>
  <si>
    <t xml:space="preserve">2025-10-15</t>
  </si>
  <si>
    <t xml:space="preserve">Card payment failure, forced downgrade</t>
  </si>
  <si>
    <t xml:space="preserve">Q4 2025 - Zaps Never Reactivated</t>
  </si>
  <si>
    <t xml:space="preserve">2025-10-22</t>
  </si>
  <si>
    <t xml:space="preserve">Zaps switched off, never turned back on</t>
  </si>
  <si>
    <t xml:space="preserve">TOTAL 2025 DISRUPTION COST</t>
  </si>
  <si>
    <t xml:space="preserve">ONGOING DISRUPTION RISK (ANNUALIZED)</t>
  </si>
  <si>
    <t xml:space="preserve">Risk Category</t>
  </si>
  <si>
    <t xml:space="preserve">Probability/Year</t>
  </si>
  <si>
    <t xml:space="preserve">Avg Duration (days)</t>
  </si>
  <si>
    <t xml:space="preserve">Cost per Incident</t>
  </si>
  <si>
    <t xml:space="preserve">Expected Annual Cost</t>
  </si>
  <si>
    <t xml:space="preserve">Task Overage (monthly billing)</t>
  </si>
  <si>
    <t xml:space="preserve">~3 overages/year at current growth rate</t>
  </si>
  <si>
    <t xml:space="preserve">Payment/Billing Failure</t>
  </si>
  <si>
    <t xml:space="preserve">Card expiration, payment processing issues</t>
  </si>
  <si>
    <t xml:space="preserve">Platform Incident</t>
  </si>
  <si>
    <t xml:space="preserve">Zapier platform-wide issues</t>
  </si>
  <si>
    <t xml:space="preserve">TOTAL ANNUAL DISRUPTION RISK</t>
  </si>
  <si>
    <t xml:space="preserve">GOVERNANCE &amp; SECURITY RISK QUANTIFICATION</t>
  </si>
  <si>
    <t xml:space="preserve">Quantifies risk exposure from current ungoverned state vs. Enterprise controls</t>
  </si>
  <si>
    <t xml:space="preserve">CURRENT STATE RISK EXPOSURE</t>
  </si>
  <si>
    <t xml:space="preserve">Current State</t>
  </si>
  <si>
    <t xml:space="preserve">Risk Metric</t>
  </si>
  <si>
    <t xml:space="preserve">Annual Probability</t>
  </si>
  <si>
    <t xml:space="preserve">Potential Cost</t>
  </si>
  <si>
    <t xml:space="preserve">Expected Annual Loss</t>
  </si>
  <si>
    <t xml:space="preserve">Data Breach (no SSO/SCIM)</t>
  </si>
  <si>
    <t xml:space="preserve">Any VA can connect any app to any data</t>
  </si>
  <si>
    <t xml:space="preserve">Shadow IT Proliferation</t>
  </si>
  <si>
    <t xml:space="preserve">115 ungoverned free accounts</t>
  </si>
  <si>
    <t xml:space="preserve">License Compliance</t>
  </si>
  <si>
    <t xml:space="preserve">40+ users on 25-seat Teams cap</t>
  </si>
  <si>
    <t xml:space="preserve">AI Data Leakage</t>
  </si>
  <si>
    <t xml:space="preserve">Teams ToS allows model training</t>
  </si>
  <si>
    <t xml:space="preserve">Audit/Compliance Finding</t>
  </si>
  <si>
    <t xml:space="preserve">No audit trail, no RBAC</t>
  </si>
  <si>
    <t xml:space="preserve">TOTAL CURRENT ANNUAL RISK EXPOSURE</t>
  </si>
  <si>
    <t xml:space="preserve">ENTERPRISE STATE - RISK REDUCTION</t>
  </si>
  <si>
    <t xml:space="preserve">Control</t>
  </si>
  <si>
    <t xml:space="preserve">Risk Mitigated</t>
  </si>
  <si>
    <t xml:space="preserve">Residual Probability</t>
  </si>
  <si>
    <t xml:space="preserve">Residual Cost</t>
  </si>
  <si>
    <t xml:space="preserve">Risk Reduction Value</t>
  </si>
  <si>
    <t xml:space="preserve">SSO/SAML</t>
  </si>
  <si>
    <t xml:space="preserve">Unauthorized access</t>
  </si>
  <si>
    <t xml:space="preserve">SCIM Provisioning</t>
  </si>
  <si>
    <t xml:space="preserve">Shadow IT, orphaned accounts</t>
  </si>
  <si>
    <t xml:space="preserve">RBAC/Workspace Governance</t>
  </si>
  <si>
    <t xml:space="preserve">Data exposure, compliance</t>
  </si>
  <si>
    <t xml:space="preserve">Audit Logging</t>
  </si>
  <si>
    <t xml:space="preserve">Compliance findings</t>
  </si>
  <si>
    <t xml:space="preserve">Enterprise ToS</t>
  </si>
  <si>
    <t xml:space="preserve">AI data concerns</t>
  </si>
  <si>
    <t xml:space="preserve">TOTAL RISK REDUCTION VALUE</t>
  </si>
  <si>
    <t xml:space="preserve">ATHENA - AUTOMATION ROI EXECUTIVE SUMMARY</t>
  </si>
  <si>
    <t xml:space="preserve">Total Value of Zapier Automation &amp; Cost of Current State</t>
  </si>
  <si>
    <t xml:space="preserve">ANNUAL VALUE SUMMARY</t>
  </si>
  <si>
    <t xml:space="preserve">Category</t>
  </si>
  <si>
    <t xml:space="preserve">Automation Time Savings</t>
  </si>
  <si>
    <t xml:space="preserve">Value of automated tasks vs. manual processing</t>
  </si>
  <si>
    <t xml:space="preserve">Disruption Cost Avoided (Historical)</t>
  </si>
  <si>
    <t xml:space="preserve">Actual cost of 2025 outages</t>
  </si>
  <si>
    <t xml:space="preserve">Disruption Risk Reduction</t>
  </si>
  <si>
    <t xml:space="preserve">Expected annual cost from ongoing risk</t>
  </si>
  <si>
    <t xml:space="preserve">Governance Risk Reduction</t>
  </si>
  <si>
    <t xml:space="preserve">Security/compliance risk mitigation</t>
  </si>
  <si>
    <t xml:space="preserve">TOTAL ANNUAL VALUE / RISK REDUCTION</t>
  </si>
  <si>
    <t xml:space="preserve">INVESTMENT COMPARISON</t>
  </si>
  <si>
    <t xml:space="preserve">Current State (Team 500K)</t>
  </si>
  <si>
    <t xml:space="preserve">ARR - monthly billing, no controls</t>
  </si>
  <si>
    <t xml:space="preserve">Proposed Enterprise Investment</t>
  </si>
  <si>
    <t xml:space="preserve">Enterprise 2.4M annual - adjust as needed</t>
  </si>
  <si>
    <t xml:space="preserve">Incremental Investment</t>
  </si>
  <si>
    <t xml:space="preserve">Net Annual Benefit</t>
  </si>
  <si>
    <t xml:space="preserve">ROI Multiple</t>
  </si>
  <si>
    <t xml:space="preserve">Total value divided by incremental investment</t>
  </si>
  <si>
    <t xml:space="preserve">KEY TALKING POINTS FOR ATHENA</t>
  </si>
  <si>
    <t xml:space="preserve">1. Your top Zap alone (ELA processing) automates ~150k tasks/month - that's X hours of VA time saved</t>
  </si>
  <si>
    <t xml:space="preserve">2. The October billing failure cost you $Y in manual workarounds + Z in delayed deals</t>
  </si>
  <si>
    <t xml:space="preserve">3. With 115 ungoverned free accounts, you're carrying $X in annualized security risk</t>
  </si>
  <si>
    <t xml:space="preserve">4. Enterprise eliminates the billing/overage disruption cycle that's hit you 3x in 2025</t>
  </si>
  <si>
    <t xml:space="preserve">5. SSO/SCIM gives Esteban the controls he's been asking for since the original evaluation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</si>
</sst>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8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DCE5"/>
        <bgColor rgb="FFE2EFDA"/>
      </patternFill>
    </fill>
    <fill>
      <patternFill patternType="solid">
        <fgColor rgb="FFFFFF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DC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0" t="s">
        <v>3</v>
      </c>
      <c r="B5" s="4" t="n">
        <v>12</v>
      </c>
      <c r="C5" s="5" t="s">
        <v>4</v>
      </c>
      <c r="D5" s="6" t="s">
        <v>5</v>
      </c>
    </row>
    <row r="6" customFormat="false" ht="15" hidden="false" customHeight="false" outlineLevel="0" collapsed="false">
      <c r="A6" s="0" t="s">
        <v>6</v>
      </c>
      <c r="B6" s="4" t="n">
        <v>25</v>
      </c>
      <c r="C6" s="5" t="s">
        <v>4</v>
      </c>
      <c r="D6" s="6" t="s">
        <v>7</v>
      </c>
    </row>
    <row r="7" customFormat="false" ht="15" hidden="false" customHeight="false" outlineLevel="0" collapsed="false">
      <c r="A7" s="0" t="s">
        <v>8</v>
      </c>
      <c r="B7" s="4" t="n">
        <v>75</v>
      </c>
      <c r="C7" s="5" t="s">
        <v>4</v>
      </c>
      <c r="D7" s="6" t="s">
        <v>9</v>
      </c>
    </row>
    <row r="8" customFormat="false" ht="15" hidden="false" customHeight="false" outlineLevel="0" collapsed="false">
      <c r="A8" s="0" t="s">
        <v>10</v>
      </c>
      <c r="B8" s="4" t="n">
        <v>160</v>
      </c>
      <c r="C8" s="5" t="s">
        <v>11</v>
      </c>
      <c r="D8" s="6" t="s">
        <v>12</v>
      </c>
    </row>
    <row r="10" customFormat="false" ht="15" hidden="false" customHeight="false" outlineLevel="0" collapsed="false">
      <c r="A10" s="3" t="s">
        <v>13</v>
      </c>
      <c r="B10" s="3"/>
      <c r="C10" s="3"/>
      <c r="D10" s="3"/>
    </row>
    <row r="11" customFormat="false" ht="15" hidden="false" customHeight="false" outlineLevel="0" collapsed="false">
      <c r="A11" s="0" t="s">
        <v>14</v>
      </c>
      <c r="B11" s="4" t="n">
        <v>2</v>
      </c>
      <c r="C11" s="5" t="s">
        <v>15</v>
      </c>
      <c r="D11" s="6" t="s">
        <v>16</v>
      </c>
    </row>
    <row r="12" customFormat="false" ht="15" hidden="false" customHeight="false" outlineLevel="0" collapsed="false">
      <c r="A12" s="0" t="s">
        <v>17</v>
      </c>
      <c r="B12" s="4" t="n">
        <v>8</v>
      </c>
      <c r="C12" s="5" t="s">
        <v>15</v>
      </c>
      <c r="D12" s="6" t="s">
        <v>18</v>
      </c>
    </row>
    <row r="13" customFormat="false" ht="15" hidden="false" customHeight="false" outlineLevel="0" collapsed="false">
      <c r="A13" s="0" t="s">
        <v>19</v>
      </c>
      <c r="B13" s="4" t="n">
        <v>20</v>
      </c>
      <c r="C13" s="5" t="s">
        <v>15</v>
      </c>
      <c r="D13" s="6" t="s">
        <v>20</v>
      </c>
    </row>
    <row r="14" customFormat="false" ht="15" hidden="false" customHeight="false" outlineLevel="0" collapsed="false">
      <c r="A14" s="0" t="s">
        <v>21</v>
      </c>
      <c r="B14" s="4" t="n">
        <v>0.85</v>
      </c>
      <c r="C14" s="5" t="s">
        <v>22</v>
      </c>
      <c r="D14" s="6" t="s">
        <v>23</v>
      </c>
    </row>
    <row r="16" customFormat="false" ht="15" hidden="false" customHeight="false" outlineLevel="0" collapsed="false">
      <c r="A16" s="3" t="s">
        <v>24</v>
      </c>
      <c r="B16" s="3"/>
      <c r="C16" s="3"/>
      <c r="D16" s="3"/>
    </row>
    <row r="17" customFormat="false" ht="15" hidden="false" customHeight="false" outlineLevel="0" collapsed="false">
      <c r="A17" s="0" t="s">
        <v>25</v>
      </c>
      <c r="B17" s="4" t="n">
        <v>15000</v>
      </c>
      <c r="C17" s="5" t="s">
        <v>26</v>
      </c>
      <c r="D17" s="6" t="s">
        <v>27</v>
      </c>
    </row>
    <row r="18" customFormat="false" ht="15" hidden="false" customHeight="false" outlineLevel="0" collapsed="false">
      <c r="A18" s="0" t="s">
        <v>28</v>
      </c>
      <c r="B18" s="4" t="n">
        <v>3</v>
      </c>
      <c r="C18" s="5" t="s">
        <v>29</v>
      </c>
      <c r="D18" s="6" t="s">
        <v>30</v>
      </c>
    </row>
    <row r="19" customFormat="false" ht="15" hidden="false" customHeight="false" outlineLevel="0" collapsed="false">
      <c r="A19" s="0" t="s">
        <v>31</v>
      </c>
      <c r="B19" s="4" t="n">
        <v>50</v>
      </c>
      <c r="C19" s="5" t="s">
        <v>32</v>
      </c>
      <c r="D19" s="6" t="s">
        <v>33</v>
      </c>
    </row>
    <row r="20" customFormat="false" ht="15" hidden="false" customHeight="false" outlineLevel="0" collapsed="false">
      <c r="A20" s="0" t="s">
        <v>34</v>
      </c>
      <c r="B20" s="4" t="n">
        <v>0.05</v>
      </c>
      <c r="C20" s="5" t="s">
        <v>22</v>
      </c>
      <c r="D20" s="6" t="s">
        <v>35</v>
      </c>
    </row>
    <row r="21" customFormat="false" ht="15" hidden="false" customHeight="false" outlineLevel="0" collapsed="false">
      <c r="A21" s="0" t="s">
        <v>36</v>
      </c>
      <c r="B21" s="4" t="n">
        <v>150</v>
      </c>
      <c r="C21" s="5" t="s">
        <v>26</v>
      </c>
      <c r="D21" s="6" t="s">
        <v>37</v>
      </c>
    </row>
    <row r="22" customFormat="false" ht="15" hidden="false" customHeight="false" outlineLevel="0" collapsed="false">
      <c r="A22" s="0" t="s">
        <v>38</v>
      </c>
      <c r="B22" s="4" t="n">
        <v>25</v>
      </c>
      <c r="C22" s="5" t="s">
        <v>39</v>
      </c>
      <c r="D22" s="6" t="s">
        <v>40</v>
      </c>
    </row>
    <row r="23" customFormat="false" ht="15" hidden="false" customHeight="false" outlineLevel="0" collapsed="false">
      <c r="A23" s="0" t="s">
        <v>41</v>
      </c>
      <c r="B23" s="4" t="n">
        <v>303927</v>
      </c>
      <c r="C23" s="5" t="s">
        <v>42</v>
      </c>
      <c r="D23" s="6" t="s">
        <v>43</v>
      </c>
    </row>
    <row r="25" customFormat="false" ht="15" hidden="false" customHeight="false" outlineLevel="0" collapsed="false">
      <c r="A25" s="3" t="s">
        <v>44</v>
      </c>
      <c r="B25" s="3"/>
      <c r="C25" s="3"/>
      <c r="D25" s="3"/>
    </row>
    <row r="26" customFormat="false" ht="15" hidden="false" customHeight="false" outlineLevel="0" collapsed="false">
      <c r="A26" s="0" t="s">
        <v>45</v>
      </c>
      <c r="B26" s="4" t="n">
        <v>150000</v>
      </c>
      <c r="C26" s="5" t="s">
        <v>26</v>
      </c>
      <c r="D26" s="6" t="s">
        <v>46</v>
      </c>
    </row>
    <row r="27" customFormat="false" ht="15" hidden="false" customHeight="false" outlineLevel="0" collapsed="false">
      <c r="A27" s="0" t="s">
        <v>47</v>
      </c>
      <c r="B27" s="4" t="n">
        <v>0.08</v>
      </c>
      <c r="C27" s="5" t="s">
        <v>22</v>
      </c>
      <c r="D27" s="6" t="s">
        <v>48</v>
      </c>
    </row>
    <row r="28" customFormat="false" ht="15" hidden="false" customHeight="false" outlineLevel="0" collapsed="false">
      <c r="A28" s="0" t="s">
        <v>49</v>
      </c>
      <c r="B28" s="4" t="n">
        <v>0.02</v>
      </c>
      <c r="C28" s="5" t="s">
        <v>22</v>
      </c>
      <c r="D28" s="6" t="s">
        <v>50</v>
      </c>
    </row>
    <row r="29" customFormat="false" ht="15" hidden="false" customHeight="false" outlineLevel="0" collapsed="false">
      <c r="A29" s="0" t="s">
        <v>51</v>
      </c>
      <c r="B29" s="4" t="n">
        <v>115</v>
      </c>
      <c r="C29" s="5" t="s">
        <v>52</v>
      </c>
      <c r="D29" s="6" t="s">
        <v>53</v>
      </c>
    </row>
    <row r="30" customFormat="false" ht="15" hidden="false" customHeight="false" outlineLevel="0" collapsed="false">
      <c r="A30" s="0" t="s">
        <v>54</v>
      </c>
      <c r="B30" s="4" t="n">
        <v>25000</v>
      </c>
      <c r="C30" s="5" t="s">
        <v>26</v>
      </c>
      <c r="D30" s="6" t="s">
        <v>55</v>
      </c>
    </row>
    <row r="31" customFormat="false" ht="15" hidden="false" customHeight="false" outlineLevel="0" collapsed="false">
      <c r="A31" s="0" t="s">
        <v>56</v>
      </c>
      <c r="B31" s="4" t="n">
        <v>0.15</v>
      </c>
      <c r="C31" s="5" t="s">
        <v>22</v>
      </c>
      <c r="D31" s="6" t="s">
        <v>57</v>
      </c>
    </row>
    <row r="34" customFormat="false" ht="15" hidden="false" customHeight="false" outlineLevel="0" collapsed="false">
      <c r="A34" s="7" t="s">
        <v>58</v>
      </c>
    </row>
    <row r="35" customFormat="false" ht="15" hidden="false" customHeight="false" outlineLevel="0" collapsed="false">
      <c r="A35" s="0" t="s">
        <v>59</v>
      </c>
      <c r="B35" s="8" t="s">
        <v>60</v>
      </c>
    </row>
    <row r="36" customFormat="false" ht="15" hidden="false" customHeight="false" outlineLevel="0" collapsed="false">
      <c r="A36" s="0" t="s">
        <v>61</v>
      </c>
      <c r="B36" s="8" t="s">
        <v>62</v>
      </c>
    </row>
    <row r="37" customFormat="false" ht="15" hidden="false" customHeight="false" outlineLevel="0" collapsed="false">
      <c r="A37" s="0" t="s">
        <v>63</v>
      </c>
      <c r="B37" s="8" t="s">
        <v>64</v>
      </c>
    </row>
    <row r="38" customFormat="false" ht="15" hidden="false" customHeight="false" outlineLevel="0" collapsed="false">
      <c r="A38" s="0" t="s">
        <v>65</v>
      </c>
      <c r="B38" s="8" t="s">
        <v>66</v>
      </c>
    </row>
    <row r="39" customFormat="false" ht="15" hidden="false" customHeight="false" outlineLevel="0" collapsed="false">
      <c r="A39" s="0" t="s">
        <v>67</v>
      </c>
      <c r="B39" s="8" t="s">
        <v>68</v>
      </c>
    </row>
    <row r="40" customFormat="false" ht="15" hidden="false" customHeight="false" outlineLevel="0" collapsed="false">
      <c r="A40" s="0" t="s">
        <v>69</v>
      </c>
      <c r="B40" s="8" t="s">
        <v>70</v>
      </c>
    </row>
    <row r="41" customFormat="false" ht="15" hidden="false" customHeight="false" outlineLevel="0" collapsed="false">
      <c r="A41" s="0" t="s">
        <v>71</v>
      </c>
      <c r="B41" s="8" t="s">
        <v>72</v>
      </c>
    </row>
    <row r="42" customFormat="false" ht="15" hidden="false" customHeight="false" outlineLevel="0" collapsed="false">
      <c r="A42" s="0" t="s">
        <v>73</v>
      </c>
      <c r="B42" s="8" t="s">
        <v>74</v>
      </c>
    </row>
    <row r="43" customFormat="false" ht="15" hidden="false" customHeight="false" outlineLevel="0" collapsed="false">
      <c r="A43" s="0" t="s">
        <v>75</v>
      </c>
      <c r="B43" s="8" t="s">
        <v>76</v>
      </c>
    </row>
    <row r="44" customFormat="false" ht="15" hidden="false" customHeight="false" outlineLevel="0" collapsed="false">
      <c r="A44" s="0" t="s">
        <v>77</v>
      </c>
      <c r="B44" s="8" t="s">
        <v>78</v>
      </c>
    </row>
    <row r="45" customFormat="false" ht="15" hidden="false" customHeight="false" outlineLevel="0" collapsed="false">
      <c r="A45" s="0" t="s">
        <v>79</v>
      </c>
      <c r="B45" s="8" t="s">
        <v>80</v>
      </c>
    </row>
    <row r="46" customFormat="false" ht="15" hidden="false" customHeight="false" outlineLevel="0" collapsed="false">
      <c r="A46" s="0" t="s">
        <v>81</v>
      </c>
      <c r="B46" s="8" t="s">
        <v>82</v>
      </c>
    </row>
    <row r="47" customFormat="false" ht="15" hidden="false" customHeight="false" outlineLevel="0" collapsed="false">
      <c r="A47" s="0" t="s">
        <v>83</v>
      </c>
      <c r="B47" s="8" t="s">
        <v>84</v>
      </c>
    </row>
    <row r="48" customFormat="false" ht="15" hidden="false" customHeight="false" outlineLevel="0" collapsed="false">
      <c r="A48" s="0" t="s">
        <v>85</v>
      </c>
      <c r="B48" s="8" t="s">
        <v>86</v>
      </c>
    </row>
    <row r="49" customFormat="false" ht="15" hidden="false" customHeight="false" outlineLevel="0" collapsed="false">
      <c r="A49" s="0" t="s">
        <v>87</v>
      </c>
      <c r="B49" s="8" t="s">
        <v>88</v>
      </c>
    </row>
    <row r="50" customFormat="false" ht="15" hidden="false" customHeight="false" outlineLevel="0" collapsed="false">
      <c r="A50" s="0" t="s">
        <v>89</v>
      </c>
      <c r="B50" s="8" t="s">
        <v>90</v>
      </c>
    </row>
    <row r="51" customFormat="false" ht="15" hidden="false" customHeight="false" outlineLevel="0" collapsed="false">
      <c r="A51" s="0" t="s">
        <v>91</v>
      </c>
      <c r="B51" s="8" t="s">
        <v>92</v>
      </c>
    </row>
  </sheetData>
  <mergeCells count="6">
    <mergeCell ref="A1:D1"/>
    <mergeCell ref="A2:D2"/>
    <mergeCell ref="A4:D4"/>
    <mergeCell ref="A10:D10"/>
    <mergeCell ref="A16:D16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10" min="9" style="0" width="15"/>
    <col collapsed="false" customWidth="true" hidden="false" outlineLevel="0" max="11" min="11" style="0" width="40"/>
  </cols>
  <sheetData>
    <row r="1" customFormat="false" ht="19.7" hidden="false" customHeight="fals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6" t="s">
        <v>94</v>
      </c>
    </row>
    <row r="4" customFormat="false" ht="28.35" hidden="false" customHeight="false" outlineLevel="0" collapsed="false">
      <c r="A4" s="9" t="s">
        <v>95</v>
      </c>
      <c r="B4" s="9" t="s">
        <v>96</v>
      </c>
      <c r="C4" s="9" t="s">
        <v>97</v>
      </c>
      <c r="D4" s="9" t="s">
        <v>98</v>
      </c>
      <c r="E4" s="9" t="s">
        <v>99</v>
      </c>
      <c r="F4" s="9" t="s">
        <v>100</v>
      </c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</row>
    <row r="5" customFormat="false" ht="15" hidden="false" customHeight="false" outlineLevel="0" collapsed="false">
      <c r="A5" s="0" t="s">
        <v>106</v>
      </c>
      <c r="B5" s="0" t="s">
        <v>107</v>
      </c>
      <c r="C5" s="0" t="s">
        <v>108</v>
      </c>
      <c r="D5" s="10" t="n">
        <v>151244</v>
      </c>
      <c r="E5" s="5" t="s">
        <v>109</v>
      </c>
      <c r="F5" s="11" t="n">
        <f aca="false">Assumptions!$B$12</f>
        <v>8</v>
      </c>
      <c r="G5" s="12" t="n">
        <f aca="false">(D5*F5/60)*Assumptions!$B$13</f>
        <v>403317.333333333</v>
      </c>
      <c r="H5" s="11" t="n">
        <f aca="false">Assumptions!$B$5</f>
        <v>12</v>
      </c>
      <c r="I5" s="12" t="n">
        <f aca="false">G5*H5</f>
        <v>4839808</v>
      </c>
      <c r="J5" s="12" t="n">
        <f aca="false">I5*12</f>
        <v>58077696</v>
      </c>
      <c r="K5" s="5" t="s">
        <v>110</v>
      </c>
    </row>
    <row r="6" customFormat="false" ht="15" hidden="false" customHeight="false" outlineLevel="0" collapsed="false">
      <c r="A6" s="0" t="s">
        <v>111</v>
      </c>
      <c r="B6" s="0" t="s">
        <v>112</v>
      </c>
      <c r="C6" s="0" t="s">
        <v>108</v>
      </c>
      <c r="D6" s="10" t="n">
        <v>61322</v>
      </c>
      <c r="E6" s="5" t="s">
        <v>113</v>
      </c>
      <c r="F6" s="11" t="n">
        <f aca="false">Assumptions!$B$11</f>
        <v>2</v>
      </c>
      <c r="G6" s="12" t="n">
        <f aca="false">(D6*F6/60)*Assumptions!$B$13</f>
        <v>40881.3333333333</v>
      </c>
      <c r="H6" s="11" t="n">
        <f aca="false">Assumptions!$B$5</f>
        <v>12</v>
      </c>
      <c r="I6" s="12" t="n">
        <f aca="false">G6*H6</f>
        <v>490576</v>
      </c>
      <c r="J6" s="12" t="n">
        <f aca="false">I6*12</f>
        <v>5886912</v>
      </c>
      <c r="K6" s="5" t="s">
        <v>114</v>
      </c>
    </row>
    <row r="7" customFormat="false" ht="15" hidden="false" customHeight="false" outlineLevel="0" collapsed="false">
      <c r="A7" s="0" t="s">
        <v>115</v>
      </c>
      <c r="B7" s="0" t="s">
        <v>112</v>
      </c>
      <c r="C7" s="0" t="s">
        <v>108</v>
      </c>
      <c r="D7" s="10" t="n">
        <v>58408</v>
      </c>
      <c r="E7" s="5" t="s">
        <v>113</v>
      </c>
      <c r="F7" s="11" t="n">
        <f aca="false">Assumptions!$B$11</f>
        <v>2</v>
      </c>
      <c r="G7" s="12" t="n">
        <f aca="false">(D7*F7/60)*Assumptions!$B$13</f>
        <v>38938.6666666667</v>
      </c>
      <c r="H7" s="11" t="n">
        <f aca="false">Assumptions!$B$5</f>
        <v>12</v>
      </c>
      <c r="I7" s="12" t="n">
        <f aca="false">G7*H7</f>
        <v>467264</v>
      </c>
      <c r="J7" s="12" t="n">
        <f aca="false">I7*12</f>
        <v>5607168</v>
      </c>
      <c r="K7" s="5" t="s">
        <v>116</v>
      </c>
    </row>
    <row r="8" customFormat="false" ht="15" hidden="false" customHeight="false" outlineLevel="0" collapsed="false">
      <c r="A8" s="0" t="s">
        <v>117</v>
      </c>
      <c r="B8" s="0" t="s">
        <v>118</v>
      </c>
      <c r="C8" s="0" t="s">
        <v>119</v>
      </c>
      <c r="D8" s="10" t="n">
        <v>14358</v>
      </c>
      <c r="E8" s="5" t="s">
        <v>120</v>
      </c>
      <c r="F8" s="11" t="n">
        <f aca="false">Assumptions!$B$10</f>
        <v>0</v>
      </c>
      <c r="G8" s="12" t="n">
        <f aca="false">(D8*F8/60)*Assumptions!$B$13</f>
        <v>0</v>
      </c>
      <c r="H8" s="11" t="n">
        <f aca="false">Assumptions!$B$5</f>
        <v>12</v>
      </c>
      <c r="I8" s="12" t="n">
        <f aca="false">G8*H8</f>
        <v>0</v>
      </c>
      <c r="J8" s="12" t="n">
        <f aca="false">I8*12</f>
        <v>0</v>
      </c>
      <c r="K8" s="5" t="s">
        <v>121</v>
      </c>
    </row>
    <row r="9" customFormat="false" ht="15" hidden="false" customHeight="false" outlineLevel="0" collapsed="false">
      <c r="A9" s="0" t="s">
        <v>122</v>
      </c>
      <c r="B9" s="0" t="s">
        <v>118</v>
      </c>
      <c r="C9" s="0" t="s">
        <v>119</v>
      </c>
      <c r="D9" s="10" t="n">
        <v>5328</v>
      </c>
      <c r="E9" s="5" t="s">
        <v>120</v>
      </c>
      <c r="F9" s="11" t="n">
        <f aca="false">Assumptions!$B$10</f>
        <v>0</v>
      </c>
      <c r="G9" s="12" t="n">
        <f aca="false">(D9*F9/60)*Assumptions!$B$13</f>
        <v>0</v>
      </c>
      <c r="H9" s="11" t="n">
        <f aca="false">Assumptions!$B$5</f>
        <v>12</v>
      </c>
      <c r="I9" s="12" t="n">
        <f aca="false">G9*H9</f>
        <v>0</v>
      </c>
      <c r="J9" s="12" t="n">
        <f aca="false">I9*12</f>
        <v>0</v>
      </c>
      <c r="K9" s="5" t="s">
        <v>123</v>
      </c>
    </row>
    <row r="10" customFormat="false" ht="15" hidden="false" customHeight="false" outlineLevel="0" collapsed="false">
      <c r="A10" s="0" t="s">
        <v>124</v>
      </c>
      <c r="B10" s="0" t="s">
        <v>107</v>
      </c>
      <c r="C10" s="0" t="s">
        <v>125</v>
      </c>
      <c r="D10" s="10" t="n">
        <v>3592</v>
      </c>
      <c r="E10" s="5" t="s">
        <v>120</v>
      </c>
      <c r="F10" s="11" t="n">
        <f aca="false">Assumptions!$B$10</f>
        <v>0</v>
      </c>
      <c r="G10" s="12" t="n">
        <f aca="false">(D10*F10/60)*Assumptions!$B$13</f>
        <v>0</v>
      </c>
      <c r="H10" s="11" t="n">
        <f aca="false">Assumptions!$B$5</f>
        <v>12</v>
      </c>
      <c r="I10" s="12" t="n">
        <f aca="false">G10*H10</f>
        <v>0</v>
      </c>
      <c r="J10" s="12" t="n">
        <f aca="false">I10*12</f>
        <v>0</v>
      </c>
      <c r="K10" s="5" t="s">
        <v>126</v>
      </c>
    </row>
    <row r="11" customFormat="false" ht="15" hidden="false" customHeight="false" outlineLevel="0" collapsed="false">
      <c r="A11" s="0" t="s">
        <v>127</v>
      </c>
      <c r="B11" s="0" t="s">
        <v>128</v>
      </c>
      <c r="C11" s="0" t="s">
        <v>129</v>
      </c>
      <c r="D11" s="10" t="n">
        <v>3340</v>
      </c>
      <c r="E11" s="5" t="s">
        <v>109</v>
      </c>
      <c r="F11" s="11" t="n">
        <f aca="false">Assumptions!$B$12</f>
        <v>8</v>
      </c>
      <c r="G11" s="12" t="n">
        <f aca="false">(D11*F11/60)*Assumptions!$B$13</f>
        <v>8906.66666666667</v>
      </c>
      <c r="H11" s="11" t="n">
        <f aca="false">Assumptions!$B$5</f>
        <v>12</v>
      </c>
      <c r="I11" s="12" t="n">
        <f aca="false">G11*H11</f>
        <v>106880</v>
      </c>
      <c r="J11" s="12" t="n">
        <f aca="false">I11*12</f>
        <v>1282560</v>
      </c>
      <c r="K11" s="5" t="s">
        <v>130</v>
      </c>
    </row>
    <row r="12" customFormat="false" ht="15" hidden="false" customHeight="false" outlineLevel="0" collapsed="false">
      <c r="A12" s="0" t="s">
        <v>131</v>
      </c>
      <c r="B12" s="0" t="s">
        <v>128</v>
      </c>
      <c r="C12" s="0" t="s">
        <v>129</v>
      </c>
      <c r="D12" s="10" t="n">
        <v>2512</v>
      </c>
      <c r="E12" s="5" t="s">
        <v>113</v>
      </c>
      <c r="F12" s="11" t="n">
        <f aca="false">Assumptions!$B$11</f>
        <v>2</v>
      </c>
      <c r="G12" s="12" t="n">
        <f aca="false">(D12*F12/60)*Assumptions!$B$13</f>
        <v>1674.66666666667</v>
      </c>
      <c r="H12" s="11" t="n">
        <f aca="false">Assumptions!$B$5</f>
        <v>12</v>
      </c>
      <c r="I12" s="12" t="n">
        <f aca="false">G12*H12</f>
        <v>20096</v>
      </c>
      <c r="J12" s="12" t="n">
        <f aca="false">I12*12</f>
        <v>241152</v>
      </c>
      <c r="K12" s="5" t="s">
        <v>132</v>
      </c>
    </row>
    <row r="13" customFormat="false" ht="15" hidden="false" customHeight="false" outlineLevel="0" collapsed="false">
      <c r="A13" s="0" t="s">
        <v>133</v>
      </c>
      <c r="B13" s="0" t="s">
        <v>107</v>
      </c>
      <c r="C13" s="0" t="s">
        <v>134</v>
      </c>
      <c r="D13" s="10" t="n">
        <v>1998</v>
      </c>
      <c r="E13" s="5" t="s">
        <v>109</v>
      </c>
      <c r="F13" s="11" t="n">
        <f aca="false">Assumptions!$B$12</f>
        <v>8</v>
      </c>
      <c r="G13" s="12" t="n">
        <f aca="false">(D13*F13/60)*Assumptions!$B$13</f>
        <v>5328</v>
      </c>
      <c r="H13" s="11" t="n">
        <f aca="false">Assumptions!$B$5</f>
        <v>12</v>
      </c>
      <c r="I13" s="12" t="n">
        <f aca="false">G13*H13</f>
        <v>63936</v>
      </c>
      <c r="J13" s="12" t="n">
        <f aca="false">I13*12</f>
        <v>767232</v>
      </c>
      <c r="K13" s="5" t="s">
        <v>135</v>
      </c>
    </row>
    <row r="14" customFormat="false" ht="15" hidden="false" customHeight="false" outlineLevel="0" collapsed="false">
      <c r="A14" s="0" t="s">
        <v>136</v>
      </c>
      <c r="B14" s="0" t="s">
        <v>137</v>
      </c>
      <c r="C14" s="0" t="s">
        <v>138</v>
      </c>
      <c r="D14" s="10" t="n">
        <v>1825</v>
      </c>
      <c r="E14" s="5" t="s">
        <v>120</v>
      </c>
      <c r="F14" s="11" t="n">
        <f aca="false">Assumptions!$B$10</f>
        <v>0</v>
      </c>
      <c r="G14" s="12" t="n">
        <f aca="false">(D14*F14/60)*Assumptions!$B$13</f>
        <v>0</v>
      </c>
      <c r="H14" s="11" t="n">
        <f aca="false">Assumptions!$B$5</f>
        <v>12</v>
      </c>
      <c r="I14" s="12" t="n">
        <f aca="false">G14*H14</f>
        <v>0</v>
      </c>
      <c r="J14" s="12" t="n">
        <f aca="false">I14*12</f>
        <v>0</v>
      </c>
      <c r="K14" s="5" t="s">
        <v>139</v>
      </c>
    </row>
    <row r="15" customFormat="false" ht="15" hidden="false" customHeight="false" outlineLevel="0" collapsed="false">
      <c r="A15" s="13" t="s">
        <v>140</v>
      </c>
      <c r="B15" s="14"/>
      <c r="C15" s="14"/>
      <c r="D15" s="13" t="n">
        <f aca="false">SUM(D5:D14)</f>
        <v>303927</v>
      </c>
      <c r="E15" s="14"/>
      <c r="F15" s="14"/>
      <c r="G15" s="13" t="n">
        <f aca="false">SUM(G5:G14)</f>
        <v>499046.666666667</v>
      </c>
      <c r="H15" s="14"/>
      <c r="I15" s="13" t="n">
        <f aca="false">SUM(I5:I14)</f>
        <v>5988560</v>
      </c>
      <c r="J15" s="13" t="n">
        <f aca="false">SUM(J5:J14)</f>
        <v>71862720</v>
      </c>
      <c r="K15" s="14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141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6" t="s">
        <v>142</v>
      </c>
    </row>
    <row r="4" customFormat="false" ht="15" hidden="false" customHeight="false" outlineLevel="0" collapsed="false">
      <c r="A4" s="3" t="s">
        <v>143</v>
      </c>
      <c r="B4" s="3"/>
      <c r="C4" s="3"/>
      <c r="D4" s="3"/>
      <c r="E4" s="3"/>
      <c r="F4" s="3"/>
      <c r="G4" s="3"/>
      <c r="H4" s="3"/>
    </row>
    <row r="5" customFormat="false" ht="28.35" hidden="false" customHeight="false" outlineLevel="0" collapsed="false">
      <c r="A5" s="9" t="s">
        <v>144</v>
      </c>
      <c r="B5" s="9" t="s">
        <v>145</v>
      </c>
      <c r="C5" s="9" t="s">
        <v>146</v>
      </c>
      <c r="D5" s="9" t="s">
        <v>147</v>
      </c>
      <c r="E5" s="9" t="s">
        <v>148</v>
      </c>
      <c r="F5" s="9" t="s">
        <v>149</v>
      </c>
      <c r="G5" s="9" t="s">
        <v>150</v>
      </c>
      <c r="H5" s="9" t="s">
        <v>151</v>
      </c>
    </row>
    <row r="6" customFormat="false" ht="15" hidden="false" customHeight="false" outlineLevel="0" collapsed="false">
      <c r="A6" s="0" t="s">
        <v>152</v>
      </c>
      <c r="B6" s="4" t="s">
        <v>153</v>
      </c>
      <c r="C6" s="4" t="n">
        <v>2</v>
      </c>
      <c r="D6" s="5" t="s">
        <v>154</v>
      </c>
      <c r="E6" s="12" t="n">
        <f aca="false">C6*(Assumptions!$B$22/30)</f>
        <v>1.66666666666667</v>
      </c>
      <c r="F6" s="12" t="n">
        <f aca="false">E6*8/60*Assumptions!$B$5</f>
        <v>2.66666666666667</v>
      </c>
      <c r="G6" s="12" t="n">
        <f aca="false">Assumptions!$B$16*Assumptions!$B$18*Assumptions!$B$19*(C6/Assumptions!$B$17)</f>
        <v>0</v>
      </c>
      <c r="H6" s="12" t="n">
        <f aca="false">F6+G6</f>
        <v>2.66666666666667</v>
      </c>
    </row>
    <row r="7" customFormat="false" ht="15" hidden="false" customHeight="false" outlineLevel="0" collapsed="false">
      <c r="A7" s="0" t="s">
        <v>155</v>
      </c>
      <c r="B7" s="4" t="s">
        <v>156</v>
      </c>
      <c r="C7" s="4" t="n">
        <v>7</v>
      </c>
      <c r="D7" s="5" t="s">
        <v>157</v>
      </c>
      <c r="E7" s="12" t="n">
        <f aca="false">C7*(Assumptions!$B$22/30)</f>
        <v>5.83333333333333</v>
      </c>
      <c r="F7" s="12" t="n">
        <f aca="false">E7*8/60*Assumptions!$B$5</f>
        <v>9.33333333333334</v>
      </c>
      <c r="G7" s="12" t="n">
        <f aca="false">Assumptions!$B$16*Assumptions!$B$18*Assumptions!$B$19*(C7/Assumptions!$B$17)</f>
        <v>0</v>
      </c>
      <c r="H7" s="12" t="n">
        <f aca="false">F7+G7</f>
        <v>9.33333333333334</v>
      </c>
    </row>
    <row r="8" customFormat="false" ht="15" hidden="false" customHeight="false" outlineLevel="0" collapsed="false">
      <c r="A8" s="0" t="s">
        <v>158</v>
      </c>
      <c r="B8" s="4" t="s">
        <v>159</v>
      </c>
      <c r="C8" s="4" t="n">
        <v>60</v>
      </c>
      <c r="D8" s="5" t="s">
        <v>160</v>
      </c>
      <c r="E8" s="12" t="n">
        <f aca="false">C8*(Assumptions!$B$22/30)</f>
        <v>50</v>
      </c>
      <c r="F8" s="12" t="n">
        <f aca="false">E8*8/60*Assumptions!$B$5</f>
        <v>80</v>
      </c>
      <c r="G8" s="12" t="n">
        <f aca="false">Assumptions!$B$16*Assumptions!$B$18*Assumptions!$B$19*(C8/Assumptions!$B$17)</f>
        <v>0</v>
      </c>
      <c r="H8" s="12" t="n">
        <f aca="false">F8+G8</f>
        <v>80</v>
      </c>
    </row>
    <row r="9" customFormat="false" ht="15" hidden="false" customHeight="false" outlineLevel="0" collapsed="false">
      <c r="A9" s="7" t="s">
        <v>161</v>
      </c>
      <c r="H9" s="13" t="n">
        <f aca="false">SUM(H6:H8)</f>
        <v>92</v>
      </c>
    </row>
    <row r="11" customFormat="false" ht="15" hidden="false" customHeight="false" outlineLevel="0" collapsed="false">
      <c r="A11" s="3" t="s">
        <v>162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15" t="s">
        <v>163</v>
      </c>
      <c r="B12" s="15" t="s">
        <v>164</v>
      </c>
      <c r="C12" s="15" t="s">
        <v>165</v>
      </c>
      <c r="D12" s="15" t="s">
        <v>166</v>
      </c>
      <c r="E12" s="15" t="s">
        <v>167</v>
      </c>
      <c r="F12" s="15" t="s">
        <v>105</v>
      </c>
    </row>
    <row r="13" customFormat="false" ht="15" hidden="false" customHeight="false" outlineLevel="0" collapsed="false">
      <c r="A13" s="0" t="s">
        <v>168</v>
      </c>
      <c r="B13" s="4" t="n">
        <v>0.25</v>
      </c>
      <c r="C13" s="4" t="n">
        <v>2</v>
      </c>
      <c r="D13" s="12" t="n">
        <f aca="false">(Assumptions!$B$22/30)*C13*8/60*Assumptions!$B$5 + C13*Assumptions!$B$21*Assumptions!$B$20</f>
        <v>17.6666666666667</v>
      </c>
      <c r="E13" s="12" t="n">
        <f aca="false">B13*D13</f>
        <v>4.41666666666667</v>
      </c>
      <c r="F13" s="6" t="s">
        <v>169</v>
      </c>
    </row>
    <row r="14" customFormat="false" ht="15" hidden="false" customHeight="false" outlineLevel="0" collapsed="false">
      <c r="A14" s="0" t="s">
        <v>170</v>
      </c>
      <c r="B14" s="4" t="n">
        <v>0.15</v>
      </c>
      <c r="C14" s="4" t="n">
        <v>5</v>
      </c>
      <c r="D14" s="12" t="n">
        <f aca="false">(Assumptions!$B$22/30)*C14*8/60*Assumptions!$B$5 + C14*Assumptions!$B$21*Assumptions!$B$20</f>
        <v>44.1666666666667</v>
      </c>
      <c r="E14" s="12" t="n">
        <f aca="false">B14*D14</f>
        <v>6.625</v>
      </c>
      <c r="F14" s="6" t="s">
        <v>171</v>
      </c>
    </row>
    <row r="15" customFormat="false" ht="15" hidden="false" customHeight="false" outlineLevel="0" collapsed="false">
      <c r="A15" s="0" t="s">
        <v>172</v>
      </c>
      <c r="B15" s="4" t="n">
        <v>0.1</v>
      </c>
      <c r="C15" s="4" t="n">
        <v>1</v>
      </c>
      <c r="D15" s="12" t="n">
        <f aca="false">(Assumptions!$B$22/30)*C15*8/60*Assumptions!$B$5 + C15*Assumptions!$B$21*Assumptions!$B$20</f>
        <v>8.83333333333333</v>
      </c>
      <c r="E15" s="12" t="n">
        <f aca="false">B15*D15</f>
        <v>0.883333333333333</v>
      </c>
      <c r="F15" s="6" t="s">
        <v>173</v>
      </c>
    </row>
    <row r="16" customFormat="false" ht="15" hidden="false" customHeight="false" outlineLevel="0" collapsed="false">
      <c r="A16" s="7" t="s">
        <v>174</v>
      </c>
      <c r="E16" s="13" t="n">
        <f aca="false">SUM(E13:E15)</f>
        <v>11.925</v>
      </c>
    </row>
  </sheetData>
  <mergeCells count="3">
    <mergeCell ref="A1:H1"/>
    <mergeCell ref="A4:H4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4" min="3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1" t="s">
        <v>175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176</v>
      </c>
    </row>
    <row r="4" customFormat="false" ht="15" hidden="false" customHeight="false" outlineLevel="0" collapsed="false">
      <c r="A4" s="3" t="s">
        <v>177</v>
      </c>
      <c r="B4" s="3"/>
      <c r="C4" s="3"/>
      <c r="D4" s="3"/>
      <c r="E4" s="3"/>
      <c r="F4" s="3"/>
    </row>
    <row r="5" customFormat="false" ht="55.2" hidden="false" customHeight="false" outlineLevel="0" collapsed="false">
      <c r="A5" s="9" t="s">
        <v>163</v>
      </c>
      <c r="B5" s="9" t="s">
        <v>178</v>
      </c>
      <c r="C5" s="9" t="s">
        <v>179</v>
      </c>
      <c r="D5" s="9" t="s">
        <v>180</v>
      </c>
      <c r="E5" s="9" t="s">
        <v>181</v>
      </c>
      <c r="F5" s="9" t="s">
        <v>182</v>
      </c>
    </row>
    <row r="6" customFormat="false" ht="15" hidden="false" customHeight="false" outlineLevel="0" collapsed="false">
      <c r="A6" s="0" t="s">
        <v>183</v>
      </c>
      <c r="B6" s="6" t="s">
        <v>184</v>
      </c>
      <c r="D6" s="11" t="n">
        <f aca="false">Assumptions!$B$26</f>
        <v>150000</v>
      </c>
      <c r="E6" s="11" t="n">
        <f aca="false">Assumptions!$B$25</f>
        <v>0</v>
      </c>
      <c r="F6" s="12" t="n">
        <f aca="false">D6*E6</f>
        <v>0</v>
      </c>
    </row>
    <row r="7" customFormat="false" ht="15" hidden="false" customHeight="false" outlineLevel="0" collapsed="false">
      <c r="A7" s="0" t="s">
        <v>185</v>
      </c>
      <c r="B7" s="6" t="s">
        <v>186</v>
      </c>
      <c r="D7" s="4" t="n">
        <v>0.2</v>
      </c>
      <c r="E7" s="4" t="n">
        <v>50000</v>
      </c>
      <c r="F7" s="12" t="n">
        <f aca="false">D7*E7</f>
        <v>10000</v>
      </c>
    </row>
    <row r="8" customFormat="false" ht="15" hidden="false" customHeight="false" outlineLevel="0" collapsed="false">
      <c r="A8" s="0" t="s">
        <v>187</v>
      </c>
      <c r="B8" s="6" t="s">
        <v>188</v>
      </c>
      <c r="D8" s="4" t="n">
        <v>0.15</v>
      </c>
      <c r="E8" s="4" t="n">
        <v>25000</v>
      </c>
      <c r="F8" s="12" t="n">
        <f aca="false">D8*E8</f>
        <v>3750</v>
      </c>
    </row>
    <row r="9" customFormat="false" ht="15" hidden="false" customHeight="false" outlineLevel="0" collapsed="false">
      <c r="A9" s="0" t="s">
        <v>189</v>
      </c>
      <c r="B9" s="6" t="s">
        <v>190</v>
      </c>
      <c r="D9" s="4" t="n">
        <v>0.05</v>
      </c>
      <c r="E9" s="4" t="n">
        <v>100000</v>
      </c>
      <c r="F9" s="12" t="n">
        <f aca="false">D9*E9</f>
        <v>5000</v>
      </c>
    </row>
    <row r="10" customFormat="false" ht="15" hidden="false" customHeight="false" outlineLevel="0" collapsed="false">
      <c r="A10" s="0" t="s">
        <v>191</v>
      </c>
      <c r="B10" s="6" t="s">
        <v>192</v>
      </c>
      <c r="D10" s="4" t="n">
        <v>0.15</v>
      </c>
      <c r="E10" s="4" t="n">
        <v>25000</v>
      </c>
      <c r="F10" s="12" t="n">
        <f aca="false">D10*E10</f>
        <v>3750</v>
      </c>
    </row>
    <row r="11" customFormat="false" ht="15" hidden="false" customHeight="false" outlineLevel="0" collapsed="false">
      <c r="A11" s="7" t="s">
        <v>193</v>
      </c>
      <c r="F11" s="13" t="n">
        <f aca="false">SUM(F6:F10)</f>
        <v>22500</v>
      </c>
    </row>
    <row r="13" customFormat="false" ht="15" hidden="false" customHeight="false" outlineLevel="0" collapsed="false">
      <c r="A13" s="3" t="s">
        <v>194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15" t="s">
        <v>195</v>
      </c>
      <c r="B14" s="15" t="s">
        <v>196</v>
      </c>
      <c r="C14" s="15" t="s">
        <v>197</v>
      </c>
      <c r="D14" s="15" t="s">
        <v>198</v>
      </c>
      <c r="E14" s="15" t="s">
        <v>199</v>
      </c>
    </row>
    <row r="15" customFormat="false" ht="15" hidden="false" customHeight="false" outlineLevel="0" collapsed="false">
      <c r="A15" s="0" t="s">
        <v>200</v>
      </c>
      <c r="B15" s="0" t="s">
        <v>201</v>
      </c>
      <c r="C15" s="11" t="n">
        <f aca="false">Assumptions!$B$27</f>
        <v>0.08</v>
      </c>
      <c r="D15" s="11" t="n">
        <f aca="false">Assumptions!$B$25</f>
        <v>0</v>
      </c>
      <c r="E15" s="12" t="n">
        <f aca="false">F6-(C15*D15)</f>
        <v>0</v>
      </c>
    </row>
    <row r="16" customFormat="false" ht="15" hidden="false" customHeight="false" outlineLevel="0" collapsed="false">
      <c r="A16" s="0" t="s">
        <v>202</v>
      </c>
      <c r="B16" s="0" t="s">
        <v>203</v>
      </c>
      <c r="C16" s="4" t="n">
        <v>0.05</v>
      </c>
      <c r="D16" s="4" t="n">
        <v>25000</v>
      </c>
      <c r="E16" s="12" t="n">
        <f aca="false">F7-(C16*D16)</f>
        <v>8750</v>
      </c>
    </row>
    <row r="17" customFormat="false" ht="15" hidden="false" customHeight="false" outlineLevel="0" collapsed="false">
      <c r="A17" s="0" t="s">
        <v>204</v>
      </c>
      <c r="B17" s="0" t="s">
        <v>205</v>
      </c>
      <c r="C17" s="4" t="n">
        <v>0.05</v>
      </c>
      <c r="D17" s="4" t="n">
        <v>25000</v>
      </c>
      <c r="E17" s="12" t="n">
        <f aca="false">F8-(C17*D17)</f>
        <v>2500</v>
      </c>
    </row>
    <row r="18" customFormat="false" ht="15" hidden="false" customHeight="false" outlineLevel="0" collapsed="false">
      <c r="A18" s="0" t="s">
        <v>206</v>
      </c>
      <c r="B18" s="0" t="s">
        <v>207</v>
      </c>
      <c r="C18" s="4" t="n">
        <v>0.03</v>
      </c>
      <c r="D18" s="4" t="n">
        <v>10000</v>
      </c>
      <c r="E18" s="12" t="n">
        <f aca="false">F9-(C18*D18)</f>
        <v>4700</v>
      </c>
    </row>
    <row r="19" customFormat="false" ht="15" hidden="false" customHeight="false" outlineLevel="0" collapsed="false">
      <c r="A19" s="0" t="s">
        <v>208</v>
      </c>
      <c r="B19" s="0" t="s">
        <v>209</v>
      </c>
      <c r="C19" s="4" t="n">
        <v>0.01</v>
      </c>
      <c r="D19" s="4" t="n">
        <v>25000</v>
      </c>
      <c r="E19" s="12" t="n">
        <f aca="false">F10-(C19*D19)</f>
        <v>3500</v>
      </c>
    </row>
    <row r="20" customFormat="false" ht="15" hidden="false" customHeight="false" outlineLevel="0" collapsed="false">
      <c r="A20" s="7" t="s">
        <v>210</v>
      </c>
      <c r="E20" s="13" t="n">
        <f aca="false">SUM(E15:E19)</f>
        <v>19450</v>
      </c>
    </row>
  </sheetData>
  <mergeCells count="3">
    <mergeCell ref="A1:F1"/>
    <mergeCell ref="A4:F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22.05" hidden="false" customHeight="false" outlineLevel="0" collapsed="false">
      <c r="A1" s="16" t="s">
        <v>211</v>
      </c>
      <c r="B1" s="16"/>
      <c r="C1" s="16"/>
      <c r="D1" s="16"/>
    </row>
    <row r="2" customFormat="false" ht="15" hidden="false" customHeight="false" outlineLevel="0" collapsed="false">
      <c r="A2" s="17" t="s">
        <v>212</v>
      </c>
    </row>
    <row r="4" customFormat="false" ht="15" hidden="false" customHeight="false" outlineLevel="0" collapsed="false">
      <c r="A4" s="3" t="s">
        <v>213</v>
      </c>
      <c r="B4" s="3"/>
      <c r="C4" s="3"/>
      <c r="D4" s="3"/>
    </row>
    <row r="5" customFormat="false" ht="15" hidden="false" customHeight="false" outlineLevel="0" collapsed="false">
      <c r="A5" s="15" t="s">
        <v>214</v>
      </c>
      <c r="B5" s="15" t="s">
        <v>104</v>
      </c>
      <c r="C5" s="15" t="s">
        <v>105</v>
      </c>
    </row>
    <row r="6" customFormat="false" ht="15" hidden="false" customHeight="false" outlineLevel="0" collapsed="false">
      <c r="A6" s="0" t="s">
        <v>215</v>
      </c>
      <c r="B6" s="11" t="n">
        <f aca="false">'Zap-Level ROI'!J15</f>
        <v>71862720</v>
      </c>
      <c r="C6" s="6" t="s">
        <v>216</v>
      </c>
    </row>
    <row r="7" customFormat="false" ht="15" hidden="false" customHeight="false" outlineLevel="0" collapsed="false">
      <c r="A7" s="0" t="s">
        <v>217</v>
      </c>
      <c r="B7" s="11" t="n">
        <f aca="false">'Disruption Cost'!H9</f>
        <v>92</v>
      </c>
      <c r="C7" s="6" t="s">
        <v>218</v>
      </c>
    </row>
    <row r="8" customFormat="false" ht="15" hidden="false" customHeight="false" outlineLevel="0" collapsed="false">
      <c r="A8" s="0" t="s">
        <v>219</v>
      </c>
      <c r="B8" s="11" t="n">
        <f aca="false">'Disruption Cost'!E16</f>
        <v>11.925</v>
      </c>
      <c r="C8" s="6" t="s">
        <v>220</v>
      </c>
    </row>
    <row r="9" customFormat="false" ht="15" hidden="false" customHeight="false" outlineLevel="0" collapsed="false">
      <c r="A9" s="0" t="s">
        <v>221</v>
      </c>
      <c r="B9" s="11" t="n">
        <f aca="false">'Governance Risk'!E20</f>
        <v>19450</v>
      </c>
      <c r="C9" s="6" t="s">
        <v>222</v>
      </c>
    </row>
    <row r="10" customFormat="false" ht="15" hidden="false" customHeight="false" outlineLevel="0" collapsed="false">
      <c r="A10" s="13" t="s">
        <v>223</v>
      </c>
      <c r="B10" s="13" t="n">
        <f aca="false">SUM(B6:B9)</f>
        <v>71882273.925</v>
      </c>
    </row>
    <row r="12" customFormat="false" ht="15" hidden="false" customHeight="false" outlineLevel="0" collapsed="false">
      <c r="A12" s="3" t="s">
        <v>224</v>
      </c>
      <c r="B12" s="3"/>
      <c r="C12" s="3"/>
      <c r="D12" s="3"/>
    </row>
    <row r="13" customFormat="false" ht="15" hidden="false" customHeight="false" outlineLevel="0" collapsed="false">
      <c r="A13" s="0" t="s">
        <v>225</v>
      </c>
      <c r="B13" s="4" t="n">
        <v>32388</v>
      </c>
      <c r="C13" s="5" t="s">
        <v>226</v>
      </c>
    </row>
    <row r="14" customFormat="false" ht="15" hidden="false" customHeight="false" outlineLevel="0" collapsed="false">
      <c r="A14" s="0" t="s">
        <v>227</v>
      </c>
      <c r="B14" s="4" t="n">
        <v>54000</v>
      </c>
      <c r="C14" s="5" t="s">
        <v>228</v>
      </c>
    </row>
    <row r="15" customFormat="false" ht="15" hidden="false" customHeight="false" outlineLevel="0" collapsed="false">
      <c r="A15" s="0" t="s">
        <v>229</v>
      </c>
      <c r="B15" s="12" t="n">
        <f aca="false">B14-B13</f>
        <v>21612</v>
      </c>
    </row>
    <row r="16" customFormat="false" ht="15" hidden="false" customHeight="false" outlineLevel="0" collapsed="false">
      <c r="A16" s="0" t="s">
        <v>230</v>
      </c>
      <c r="B16" s="7" t="n">
        <f aca="false">B10-B15</f>
        <v>71860661.925</v>
      </c>
    </row>
    <row r="17" customFormat="false" ht="15" hidden="false" customHeight="false" outlineLevel="0" collapsed="false">
      <c r="A17" s="0" t="s">
        <v>231</v>
      </c>
      <c r="B17" s="7" t="n">
        <f aca="false">IF(B15&gt;0,B10/B15,"-")</f>
        <v>3326.0352547196</v>
      </c>
      <c r="C17" s="5" t="s">
        <v>232</v>
      </c>
    </row>
    <row r="19" customFormat="false" ht="15" hidden="false" customHeight="false" outlineLevel="0" collapsed="false">
      <c r="A19" s="3" t="s">
        <v>233</v>
      </c>
      <c r="B19" s="3"/>
      <c r="C19" s="3"/>
      <c r="D19" s="3"/>
    </row>
    <row r="20" customFormat="false" ht="15" hidden="false" customHeight="false" outlineLevel="0" collapsed="false">
      <c r="A20" s="18" t="s">
        <v>234</v>
      </c>
      <c r="B20" s="18"/>
      <c r="C20" s="18"/>
      <c r="D20" s="18"/>
    </row>
    <row r="21" customFormat="false" ht="15" hidden="false" customHeight="false" outlineLevel="0" collapsed="false">
      <c r="A21" s="18" t="s">
        <v>235</v>
      </c>
      <c r="B21" s="18"/>
      <c r="C21" s="18"/>
      <c r="D21" s="18"/>
    </row>
    <row r="22" customFormat="false" ht="15" hidden="false" customHeight="false" outlineLevel="0" collapsed="false">
      <c r="A22" s="18" t="s">
        <v>236</v>
      </c>
      <c r="B22" s="18"/>
      <c r="C22" s="18"/>
      <c r="D22" s="18"/>
    </row>
    <row r="23" customFormat="false" ht="15" hidden="false" customHeight="false" outlineLevel="0" collapsed="false">
      <c r="A23" s="18" t="s">
        <v>237</v>
      </c>
      <c r="B23" s="18"/>
      <c r="C23" s="18"/>
      <c r="D23" s="18"/>
    </row>
    <row r="24" customFormat="false" ht="15" hidden="false" customHeight="false" outlineLevel="0" collapsed="false">
      <c r="A24" s="18" t="s">
        <v>238</v>
      </c>
      <c r="B24" s="18"/>
      <c r="C24" s="18"/>
      <c r="D24" s="18"/>
    </row>
  </sheetData>
  <mergeCells count="9">
    <mergeCell ref="A1:D1"/>
    <mergeCell ref="A4:D4"/>
    <mergeCell ref="A12:D12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2026-01-13T13:13:17Z</dcterms:created>
  <dc:creator>openpyxl</dc:creator>
  <dc:description/>
  <dc:language>en-US</dc:language>
  <cp:lastModifiedBy/>
  <dcterms:modified xsi:type="dcterms:W3CDTF">2026-01-13T13:13:17Z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